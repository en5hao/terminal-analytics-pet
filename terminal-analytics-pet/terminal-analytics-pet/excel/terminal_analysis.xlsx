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" sheetId="1" state="visible" r:id="rId3"/>
    <sheet name="Pivot" sheetId="2" state="visible" r:id="rId4"/>
    <sheet name="Looku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<sst xmlns="http://schemas.openxmlformats.org/spreadsheetml/2006/main" count="2936" uniqueCount="777">
  <si>
    <t xml:space="preserve">txn_id</t>
  </si>
  <si>
    <t xml:space="preserve">device_id</t>
  </si>
  <si>
    <t xml:space="preserve">txn_time</t>
  </si>
  <si>
    <t xml:space="preserve">txn_type</t>
  </si>
  <si>
    <t xml:space="preserve">amount</t>
  </si>
  <si>
    <t xml:space="preserve">status</t>
  </si>
  <si>
    <t xml:space="preserve">error_code</t>
  </si>
  <si>
    <t xml:space="preserve">model (ВПР)</t>
  </si>
  <si>
    <t xml:space="preserve">location (ВПР)</t>
  </si>
  <si>
    <t xml:space="preserve">is_success</t>
  </si>
  <si>
    <t xml:space="preserve">service_cost (ВПР)</t>
  </si>
  <si>
    <t xml:space="preserve">location</t>
  </si>
  <si>
    <t xml:space="preserve">model</t>
  </si>
  <si>
    <t xml:space="preserve">last_online</t>
  </si>
  <si>
    <t xml:space="preserve">cash_level</t>
  </si>
  <si>
    <t xml:space="preserve">T000001</t>
  </si>
  <si>
    <t xml:space="preserve">ATM-001</t>
  </si>
  <si>
    <t xml:space="preserve">снятие</t>
  </si>
  <si>
    <t xml:space="preserve">success</t>
  </si>
  <si>
    <t xml:space="preserve">Москва, Тверская</t>
  </si>
  <si>
    <t xml:space="preserve">Model-X</t>
  </si>
  <si>
    <t xml:space="preserve">online</t>
  </si>
  <si>
    <t xml:space="preserve">T000002</t>
  </si>
  <si>
    <t xml:space="preserve">ATM-036</t>
  </si>
  <si>
    <t xml:space="preserve">ATM-002</t>
  </si>
  <si>
    <t xml:space="preserve">Москва, Арбат</t>
  </si>
  <si>
    <t xml:space="preserve">Model-Y</t>
  </si>
  <si>
    <t xml:space="preserve">T000003</t>
  </si>
  <si>
    <t xml:space="preserve">ATM-022</t>
  </si>
  <si>
    <t xml:space="preserve">запрос баланса</t>
  </si>
  <si>
    <t xml:space="preserve">ATM-003</t>
  </si>
  <si>
    <t xml:space="preserve">Москва, Новослободская</t>
  </si>
  <si>
    <t xml:space="preserve">Model-Z</t>
  </si>
  <si>
    <t xml:space="preserve">T000004</t>
  </si>
  <si>
    <t xml:space="preserve">ATM-006</t>
  </si>
  <si>
    <t xml:space="preserve">ATM-004</t>
  </si>
  <si>
    <t xml:space="preserve">Москва, Ленинградский пр-т</t>
  </si>
  <si>
    <t xml:space="preserve">T000005</t>
  </si>
  <si>
    <t xml:space="preserve">ATM-012</t>
  </si>
  <si>
    <t xml:space="preserve">ATM-005</t>
  </si>
  <si>
    <t xml:space="preserve">Москва, Кутузовский пр-т</t>
  </si>
  <si>
    <t xml:space="preserve">T000006</t>
  </si>
  <si>
    <t xml:space="preserve">ATM-034</t>
  </si>
  <si>
    <t xml:space="preserve">Москва, Профсоюзная</t>
  </si>
  <si>
    <t xml:space="preserve">T000007</t>
  </si>
  <si>
    <t xml:space="preserve">ATM-035</t>
  </si>
  <si>
    <t xml:space="preserve">внесение</t>
  </si>
  <si>
    <t xml:space="preserve">ATM-007</t>
  </si>
  <si>
    <t xml:space="preserve">Санкт-Петербург, Невский пр-т</t>
  </si>
  <si>
    <t xml:space="preserve">T000008</t>
  </si>
  <si>
    <t xml:space="preserve">ATM-008</t>
  </si>
  <si>
    <t xml:space="preserve">Санкт-Петербург, Московский пр-т</t>
  </si>
  <si>
    <t xml:space="preserve">T000009</t>
  </si>
  <si>
    <t xml:space="preserve">ATM-030</t>
  </si>
  <si>
    <t xml:space="preserve">ATM-009</t>
  </si>
  <si>
    <t xml:space="preserve">Санкт-Петербург, Лиговский пр-т</t>
  </si>
  <si>
    <t xml:space="preserve">offline</t>
  </si>
  <si>
    <t xml:space="preserve">T000010</t>
  </si>
  <si>
    <t xml:space="preserve">ATM-032</t>
  </si>
  <si>
    <t xml:space="preserve">ATM-010</t>
  </si>
  <si>
    <t xml:space="preserve">Санкт-Петербург, Большой пр-т</t>
  </si>
  <si>
    <t xml:space="preserve">T000011</t>
  </si>
  <si>
    <t xml:space="preserve">ATM-011</t>
  </si>
  <si>
    <t xml:space="preserve">Казань, Баумана</t>
  </si>
  <si>
    <t xml:space="preserve">T000012</t>
  </si>
  <si>
    <t xml:space="preserve">перевод</t>
  </si>
  <si>
    <t xml:space="preserve">Казань, Кремлёвская</t>
  </si>
  <si>
    <t xml:space="preserve">maintenance</t>
  </si>
  <si>
    <t xml:space="preserve">T000013</t>
  </si>
  <si>
    <t xml:space="preserve">ATM-013</t>
  </si>
  <si>
    <t xml:space="preserve">Казань, Пушкина</t>
  </si>
  <si>
    <t xml:space="preserve">T000014</t>
  </si>
  <si>
    <t xml:space="preserve">ATM-029</t>
  </si>
  <si>
    <t xml:space="preserve">ATM-014</t>
  </si>
  <si>
    <t xml:space="preserve">Казань, Чистопольская</t>
  </si>
  <si>
    <t xml:space="preserve">T000015</t>
  </si>
  <si>
    <t xml:space="preserve">failed</t>
  </si>
  <si>
    <t xml:space="preserve">E01</t>
  </si>
  <si>
    <t xml:space="preserve">ATM-015</t>
  </si>
  <si>
    <t xml:space="preserve">Екатеринбург, Ленина</t>
  </si>
  <si>
    <t xml:space="preserve">T000016</t>
  </si>
  <si>
    <t xml:space="preserve">ATM-016</t>
  </si>
  <si>
    <t xml:space="preserve">Екатеринбург, Малышева</t>
  </si>
  <si>
    <t xml:space="preserve">T000017</t>
  </si>
  <si>
    <t xml:space="preserve">ATM-019</t>
  </si>
  <si>
    <t xml:space="preserve">ATM-017</t>
  </si>
  <si>
    <t xml:space="preserve">Екатеринбург, 8 Марта</t>
  </si>
  <si>
    <t xml:space="preserve">T000018</t>
  </si>
  <si>
    <t xml:space="preserve">ATM-018</t>
  </si>
  <si>
    <t xml:space="preserve">Екатеринбург, Вайнера</t>
  </si>
  <si>
    <t xml:space="preserve">T000019</t>
  </si>
  <si>
    <t xml:space="preserve">Новосибирск, Красный пр-т</t>
  </si>
  <si>
    <t xml:space="preserve">T000020</t>
  </si>
  <si>
    <t xml:space="preserve">ATM-020</t>
  </si>
  <si>
    <t xml:space="preserve">Новосибирск, Ленина</t>
  </si>
  <si>
    <t xml:space="preserve">T000021</t>
  </si>
  <si>
    <t xml:space="preserve">ATM-025</t>
  </si>
  <si>
    <t xml:space="preserve">ATM-021</t>
  </si>
  <si>
    <t xml:space="preserve">Новосибирск, Гоголя</t>
  </si>
  <si>
    <t xml:space="preserve">T000022</t>
  </si>
  <si>
    <t xml:space="preserve">timeout</t>
  </si>
  <si>
    <t xml:space="preserve">Новосибирск, Дуси Ковальчук</t>
  </si>
  <si>
    <t xml:space="preserve">T000023</t>
  </si>
  <si>
    <t xml:space="preserve">ATM-023</t>
  </si>
  <si>
    <t xml:space="preserve">Нижний Новгород, Большая Покровская</t>
  </si>
  <si>
    <t xml:space="preserve">T000024</t>
  </si>
  <si>
    <t xml:space="preserve">ATM-024</t>
  </si>
  <si>
    <t xml:space="preserve">Нижний Новгород, Рождественская</t>
  </si>
  <si>
    <t xml:space="preserve">T000025</t>
  </si>
  <si>
    <t xml:space="preserve">Нижний Новгород, Белинского</t>
  </si>
  <si>
    <t xml:space="preserve">T000026</t>
  </si>
  <si>
    <t xml:space="preserve">ATM-026</t>
  </si>
  <si>
    <t xml:space="preserve">Самара, Ленинградская</t>
  </si>
  <si>
    <t xml:space="preserve">T000027</t>
  </si>
  <si>
    <t xml:space="preserve">ATM-027</t>
  </si>
  <si>
    <t xml:space="preserve">Самара, Куйбышева</t>
  </si>
  <si>
    <t xml:space="preserve">T000028</t>
  </si>
  <si>
    <t xml:space="preserve">E03</t>
  </si>
  <si>
    <t xml:space="preserve">ATM-028</t>
  </si>
  <si>
    <t xml:space="preserve">Самара, Молодогвардейская</t>
  </si>
  <si>
    <t xml:space="preserve">T000029</t>
  </si>
  <si>
    <t xml:space="preserve">Ростов-на-Дону, Садовая</t>
  </si>
  <si>
    <t xml:space="preserve">T000030</t>
  </si>
  <si>
    <t xml:space="preserve">Ростов-на-Дону, Будённовский</t>
  </si>
  <si>
    <t xml:space="preserve">T000031</t>
  </si>
  <si>
    <t xml:space="preserve">ATM-031</t>
  </si>
  <si>
    <t xml:space="preserve">Ростов-на-Дону, Пушкинская</t>
  </si>
  <si>
    <t xml:space="preserve">T000032</t>
  </si>
  <si>
    <t xml:space="preserve">Краснодар, Красная</t>
  </si>
  <si>
    <t xml:space="preserve">T000033</t>
  </si>
  <si>
    <t xml:space="preserve">ATM-033</t>
  </si>
  <si>
    <t xml:space="preserve">Краснодар, Северная</t>
  </si>
  <si>
    <t xml:space="preserve">T000034</t>
  </si>
  <si>
    <t xml:space="preserve">Краснодар, Гимназическая</t>
  </si>
  <si>
    <t xml:space="preserve">T000035</t>
  </si>
  <si>
    <t xml:space="preserve">Воронеж, Плехановская</t>
  </si>
  <si>
    <t xml:space="preserve">T000036</t>
  </si>
  <si>
    <t xml:space="preserve">Воронеж, Кольцовская</t>
  </si>
  <si>
    <t xml:space="preserve">T000037</t>
  </si>
  <si>
    <t xml:space="preserve">ATM-037</t>
  </si>
  <si>
    <t xml:space="preserve">Воронеж, Революции</t>
  </si>
  <si>
    <t xml:space="preserve">T000038</t>
  </si>
  <si>
    <t xml:space="preserve">ATM-038</t>
  </si>
  <si>
    <t xml:space="preserve">Уфа, Ленина</t>
  </si>
  <si>
    <t xml:space="preserve">T000040</t>
  </si>
  <si>
    <t xml:space="preserve">ATM-039</t>
  </si>
  <si>
    <t xml:space="preserve">Уфа, Чернышевского</t>
  </si>
  <si>
    <t xml:space="preserve">T000041</t>
  </si>
  <si>
    <t xml:space="preserve">ATM-040</t>
  </si>
  <si>
    <t xml:space="preserve">Уфа, Мингажева</t>
  </si>
  <si>
    <t xml:space="preserve">T000042</t>
  </si>
  <si>
    <t xml:space="preserve">T000043</t>
  </si>
  <si>
    <t xml:space="preserve">T000044</t>
  </si>
  <si>
    <t xml:space="preserve">T000045</t>
  </si>
  <si>
    <t xml:space="preserve">T000046</t>
  </si>
  <si>
    <t xml:space="preserve">T000047</t>
  </si>
  <si>
    <t xml:space="preserve">T000048</t>
  </si>
  <si>
    <t xml:space="preserve">T000049</t>
  </si>
  <si>
    <t xml:space="preserve">T000050</t>
  </si>
  <si>
    <t xml:space="preserve">T000051</t>
  </si>
  <si>
    <t xml:space="preserve">E02</t>
  </si>
  <si>
    <t xml:space="preserve">T000052</t>
  </si>
  <si>
    <t xml:space="preserve">T000053</t>
  </si>
  <si>
    <t xml:space="preserve">T000054</t>
  </si>
  <si>
    <t xml:space="preserve">T000055</t>
  </si>
  <si>
    <t xml:space="preserve">T000056</t>
  </si>
  <si>
    <t xml:space="preserve">T000057</t>
  </si>
  <si>
    <t xml:space="preserve">T000058</t>
  </si>
  <si>
    <t xml:space="preserve">T000059</t>
  </si>
  <si>
    <t xml:space="preserve">T000060</t>
  </si>
  <si>
    <t xml:space="preserve">T000061</t>
  </si>
  <si>
    <t xml:space="preserve">T000062</t>
  </si>
  <si>
    <t xml:space="preserve">T000063</t>
  </si>
  <si>
    <t xml:space="preserve">T000064</t>
  </si>
  <si>
    <t xml:space="preserve">T000065</t>
  </si>
  <si>
    <t xml:space="preserve">T000066</t>
  </si>
  <si>
    <t xml:space="preserve">T000067</t>
  </si>
  <si>
    <t xml:space="preserve">T000068</t>
  </si>
  <si>
    <t xml:space="preserve">T000069</t>
  </si>
  <si>
    <t xml:space="preserve">T000070</t>
  </si>
  <si>
    <t xml:space="preserve">T000071</t>
  </si>
  <si>
    <t xml:space="preserve">T000072</t>
  </si>
  <si>
    <t xml:space="preserve">T000073</t>
  </si>
  <si>
    <t xml:space="preserve">T000074</t>
  </si>
  <si>
    <t xml:space="preserve">T000075</t>
  </si>
  <si>
    <t xml:space="preserve">T000076</t>
  </si>
  <si>
    <t xml:space="preserve">T000077</t>
  </si>
  <si>
    <t xml:space="preserve">T000078</t>
  </si>
  <si>
    <t xml:space="preserve">T000079</t>
  </si>
  <si>
    <t xml:space="preserve">T000080</t>
  </si>
  <si>
    <t xml:space="preserve">T000081</t>
  </si>
  <si>
    <t xml:space="preserve">T000082</t>
  </si>
  <si>
    <t xml:space="preserve">T000083</t>
  </si>
  <si>
    <t xml:space="preserve">T000085</t>
  </si>
  <si>
    <t xml:space="preserve">T000086</t>
  </si>
  <si>
    <t xml:space="preserve">T000087</t>
  </si>
  <si>
    <t xml:space="preserve">T000088</t>
  </si>
  <si>
    <t xml:space="preserve">T000089</t>
  </si>
  <si>
    <t xml:space="preserve">T000090</t>
  </si>
  <si>
    <t xml:space="preserve">T000091</t>
  </si>
  <si>
    <t xml:space="preserve">T000092</t>
  </si>
  <si>
    <t xml:space="preserve">T000093</t>
  </si>
  <si>
    <t xml:space="preserve">T000094</t>
  </si>
  <si>
    <t xml:space="preserve">T000096</t>
  </si>
  <si>
    <t xml:space="preserve">T000097</t>
  </si>
  <si>
    <t xml:space="preserve">T000098</t>
  </si>
  <si>
    <t xml:space="preserve">T000099</t>
  </si>
  <si>
    <t xml:space="preserve">T000100</t>
  </si>
  <si>
    <t xml:space="preserve">T000101</t>
  </si>
  <si>
    <t xml:space="preserve">T000102</t>
  </si>
  <si>
    <t xml:space="preserve">T000103</t>
  </si>
  <si>
    <t xml:space="preserve">T000104</t>
  </si>
  <si>
    <t xml:space="preserve">T000105</t>
  </si>
  <si>
    <t xml:space="preserve">T000106</t>
  </si>
  <si>
    <t xml:space="preserve">T000107</t>
  </si>
  <si>
    <t xml:space="preserve">T000108</t>
  </si>
  <si>
    <t xml:space="preserve">T000109</t>
  </si>
  <si>
    <t xml:space="preserve">T000110</t>
  </si>
  <si>
    <t xml:space="preserve">T000111</t>
  </si>
  <si>
    <t xml:space="preserve">T000112</t>
  </si>
  <si>
    <t xml:space="preserve">T000113</t>
  </si>
  <si>
    <t xml:space="preserve">T000114</t>
  </si>
  <si>
    <t xml:space="preserve">T000115</t>
  </si>
  <si>
    <t xml:space="preserve">T000116</t>
  </si>
  <si>
    <t xml:space="preserve">T000117</t>
  </si>
  <si>
    <t xml:space="preserve">T000118</t>
  </si>
  <si>
    <t xml:space="preserve">T000119</t>
  </si>
  <si>
    <t xml:space="preserve">T000120</t>
  </si>
  <si>
    <t xml:space="preserve">T000121</t>
  </si>
  <si>
    <t xml:space="preserve">T000122</t>
  </si>
  <si>
    <t xml:space="preserve">T000123</t>
  </si>
  <si>
    <t xml:space="preserve">T000124</t>
  </si>
  <si>
    <t xml:space="preserve">T000125</t>
  </si>
  <si>
    <t xml:space="preserve">T000126</t>
  </si>
  <si>
    <t xml:space="preserve">T000127</t>
  </si>
  <si>
    <t xml:space="preserve">T000128</t>
  </si>
  <si>
    <t xml:space="preserve">T000129</t>
  </si>
  <si>
    <t xml:space="preserve">T000130</t>
  </si>
  <si>
    <t xml:space="preserve">T000131</t>
  </si>
  <si>
    <t xml:space="preserve">T000132</t>
  </si>
  <si>
    <t xml:space="preserve">T000133</t>
  </si>
  <si>
    <t xml:space="preserve">T000134</t>
  </si>
  <si>
    <t xml:space="preserve">T000135</t>
  </si>
  <si>
    <t xml:space="preserve">T000136</t>
  </si>
  <si>
    <t xml:space="preserve">T000137</t>
  </si>
  <si>
    <t xml:space="preserve">T000138</t>
  </si>
  <si>
    <t xml:space="preserve">T000139</t>
  </si>
  <si>
    <t xml:space="preserve">T000140</t>
  </si>
  <si>
    <t xml:space="preserve">T000141</t>
  </si>
  <si>
    <t xml:space="preserve">T000142</t>
  </si>
  <si>
    <t xml:space="preserve">T000143</t>
  </si>
  <si>
    <t xml:space="preserve">T000144</t>
  </si>
  <si>
    <t xml:space="preserve">T000145</t>
  </si>
  <si>
    <t xml:space="preserve">T000146</t>
  </si>
  <si>
    <t xml:space="preserve">T000147</t>
  </si>
  <si>
    <t xml:space="preserve">T000149</t>
  </si>
  <si>
    <t xml:space="preserve">T000150</t>
  </si>
  <si>
    <t xml:space="preserve">T000151</t>
  </si>
  <si>
    <t xml:space="preserve">T000152</t>
  </si>
  <si>
    <t xml:space="preserve">T000153</t>
  </si>
  <si>
    <t xml:space="preserve">T000154</t>
  </si>
  <si>
    <t xml:space="preserve">T000155</t>
  </si>
  <si>
    <t xml:space="preserve">T000156</t>
  </si>
  <si>
    <t xml:space="preserve">T000157</t>
  </si>
  <si>
    <t xml:space="preserve">T000158</t>
  </si>
  <si>
    <t xml:space="preserve">T000159</t>
  </si>
  <si>
    <t xml:space="preserve">T000160</t>
  </si>
  <si>
    <t xml:space="preserve">T000161</t>
  </si>
  <si>
    <t xml:space="preserve">T000162</t>
  </si>
  <si>
    <t xml:space="preserve">T000163</t>
  </si>
  <si>
    <t xml:space="preserve">T000164</t>
  </si>
  <si>
    <t xml:space="preserve">T000166</t>
  </si>
  <si>
    <t xml:space="preserve">T000167</t>
  </si>
  <si>
    <t xml:space="preserve">T000168</t>
  </si>
  <si>
    <t xml:space="preserve">T000169</t>
  </si>
  <si>
    <t xml:space="preserve">T000170</t>
  </si>
  <si>
    <t xml:space="preserve">T000171</t>
  </si>
  <si>
    <t xml:space="preserve">T000172</t>
  </si>
  <si>
    <t xml:space="preserve">T000173</t>
  </si>
  <si>
    <t xml:space="preserve">T000175</t>
  </si>
  <si>
    <t xml:space="preserve">T000176</t>
  </si>
  <si>
    <t xml:space="preserve">T000178</t>
  </si>
  <si>
    <t xml:space="preserve">T000179</t>
  </si>
  <si>
    <t xml:space="preserve">T000180</t>
  </si>
  <si>
    <t xml:space="preserve">T000181</t>
  </si>
  <si>
    <t xml:space="preserve">T000182</t>
  </si>
  <si>
    <t xml:space="preserve">T000183</t>
  </si>
  <si>
    <t xml:space="preserve">T000184</t>
  </si>
  <si>
    <t xml:space="preserve">T000185</t>
  </si>
  <si>
    <t xml:space="preserve">T000188</t>
  </si>
  <si>
    <t xml:space="preserve">T000189</t>
  </si>
  <si>
    <t xml:space="preserve">T000190</t>
  </si>
  <si>
    <t xml:space="preserve">T000191</t>
  </si>
  <si>
    <t xml:space="preserve">T000192</t>
  </si>
  <si>
    <t xml:space="preserve">T000193</t>
  </si>
  <si>
    <t xml:space="preserve">T000194</t>
  </si>
  <si>
    <t xml:space="preserve">T000195</t>
  </si>
  <si>
    <t xml:space="preserve">T000196</t>
  </si>
  <si>
    <t xml:space="preserve">T000197</t>
  </si>
  <si>
    <t xml:space="preserve">T000198</t>
  </si>
  <si>
    <t xml:space="preserve">T000199</t>
  </si>
  <si>
    <t xml:space="preserve">T000201</t>
  </si>
  <si>
    <t xml:space="preserve">T000202</t>
  </si>
  <si>
    <t xml:space="preserve">T000203</t>
  </si>
  <si>
    <t xml:space="preserve">T000204</t>
  </si>
  <si>
    <t xml:space="preserve">T000205</t>
  </si>
  <si>
    <t xml:space="preserve">T000206</t>
  </si>
  <si>
    <t xml:space="preserve">T000207</t>
  </si>
  <si>
    <t xml:space="preserve">T000208</t>
  </si>
  <si>
    <t xml:space="preserve">T000209</t>
  </si>
  <si>
    <t xml:space="preserve">T000210</t>
  </si>
  <si>
    <t xml:space="preserve">T000211</t>
  </si>
  <si>
    <t xml:space="preserve">T000212</t>
  </si>
  <si>
    <t xml:space="preserve">T000213</t>
  </si>
  <si>
    <t xml:space="preserve">T000214</t>
  </si>
  <si>
    <t xml:space="preserve">T000215</t>
  </si>
  <si>
    <t xml:space="preserve">T000216</t>
  </si>
  <si>
    <t xml:space="preserve">T000217</t>
  </si>
  <si>
    <t xml:space="preserve">T000218</t>
  </si>
  <si>
    <t xml:space="preserve">T000219</t>
  </si>
  <si>
    <t xml:space="preserve">T000220</t>
  </si>
  <si>
    <t xml:space="preserve">T000221</t>
  </si>
  <si>
    <t xml:space="preserve">T000222</t>
  </si>
  <si>
    <t xml:space="preserve">T000223</t>
  </si>
  <si>
    <t xml:space="preserve">T000224</t>
  </si>
  <si>
    <t xml:space="preserve">T000225</t>
  </si>
  <si>
    <t xml:space="preserve">T000226</t>
  </si>
  <si>
    <t xml:space="preserve">T000227</t>
  </si>
  <si>
    <t xml:space="preserve">T000228</t>
  </si>
  <si>
    <t xml:space="preserve">T000229</t>
  </si>
  <si>
    <t xml:space="preserve">T000230</t>
  </si>
  <si>
    <t xml:space="preserve">T000231</t>
  </si>
  <si>
    <t xml:space="preserve">T000232</t>
  </si>
  <si>
    <t xml:space="preserve">T000233</t>
  </si>
  <si>
    <t xml:space="preserve">T000234</t>
  </si>
  <si>
    <t xml:space="preserve">T000235</t>
  </si>
  <si>
    <t xml:space="preserve">T000236</t>
  </si>
  <si>
    <t xml:space="preserve">T000237</t>
  </si>
  <si>
    <t xml:space="preserve">T000239</t>
  </si>
  <si>
    <t xml:space="preserve">T000240</t>
  </si>
  <si>
    <t xml:space="preserve">T000241</t>
  </si>
  <si>
    <t xml:space="preserve">T000242</t>
  </si>
  <si>
    <t xml:space="preserve">T000243</t>
  </si>
  <si>
    <t xml:space="preserve">T000244</t>
  </si>
  <si>
    <t xml:space="preserve">T000246</t>
  </si>
  <si>
    <t xml:space="preserve">T000247</t>
  </si>
  <si>
    <t xml:space="preserve">T000248</t>
  </si>
  <si>
    <t xml:space="preserve">T000249</t>
  </si>
  <si>
    <t xml:space="preserve">T000250</t>
  </si>
  <si>
    <t xml:space="preserve">T000251</t>
  </si>
  <si>
    <t xml:space="preserve">T000252</t>
  </si>
  <si>
    <t xml:space="preserve">T000253</t>
  </si>
  <si>
    <t xml:space="preserve">T000254</t>
  </si>
  <si>
    <t xml:space="preserve">T000255</t>
  </si>
  <si>
    <t xml:space="preserve">T000256</t>
  </si>
  <si>
    <t xml:space="preserve">T000257</t>
  </si>
  <si>
    <t xml:space="preserve">T000258</t>
  </si>
  <si>
    <t xml:space="preserve">T000259</t>
  </si>
  <si>
    <t xml:space="preserve">T000261</t>
  </si>
  <si>
    <t xml:space="preserve">T000262</t>
  </si>
  <si>
    <t xml:space="preserve">T000263</t>
  </si>
  <si>
    <t xml:space="preserve">T000264</t>
  </si>
  <si>
    <t xml:space="preserve">T000265</t>
  </si>
  <si>
    <t xml:space="preserve">T000267</t>
  </si>
  <si>
    <t xml:space="preserve">T000268</t>
  </si>
  <si>
    <t xml:space="preserve">T000269</t>
  </si>
  <si>
    <t xml:space="preserve">T000270</t>
  </si>
  <si>
    <t xml:space="preserve">T000271</t>
  </si>
  <si>
    <t xml:space="preserve">T000272</t>
  </si>
  <si>
    <t xml:space="preserve">T000273</t>
  </si>
  <si>
    <t xml:space="preserve">T000274</t>
  </si>
  <si>
    <t xml:space="preserve">T000275</t>
  </si>
  <si>
    <t xml:space="preserve">T000276</t>
  </si>
  <si>
    <t xml:space="preserve">T000277</t>
  </si>
  <si>
    <t xml:space="preserve">T000278</t>
  </si>
  <si>
    <t xml:space="preserve">T000279</t>
  </si>
  <si>
    <t xml:space="preserve">T000280</t>
  </si>
  <si>
    <t xml:space="preserve">T000281</t>
  </si>
  <si>
    <t xml:space="preserve">T000282</t>
  </si>
  <si>
    <t xml:space="preserve">T000283</t>
  </si>
  <si>
    <t xml:space="preserve">T000284</t>
  </si>
  <si>
    <t xml:space="preserve">T000285</t>
  </si>
  <si>
    <t xml:space="preserve">T000286</t>
  </si>
  <si>
    <t xml:space="preserve">T000287</t>
  </si>
  <si>
    <t xml:space="preserve">T000288</t>
  </si>
  <si>
    <t xml:space="preserve">T000289</t>
  </si>
  <si>
    <t xml:space="preserve">T000290</t>
  </si>
  <si>
    <t xml:space="preserve">T000291</t>
  </si>
  <si>
    <t xml:space="preserve">T000292</t>
  </si>
  <si>
    <t xml:space="preserve">T000293</t>
  </si>
  <si>
    <t xml:space="preserve">T000294</t>
  </si>
  <si>
    <t xml:space="preserve">T000295</t>
  </si>
  <si>
    <t xml:space="preserve">T000296</t>
  </si>
  <si>
    <t xml:space="preserve">T000297</t>
  </si>
  <si>
    <t xml:space="preserve">T000298</t>
  </si>
  <si>
    <t xml:space="preserve">T000299</t>
  </si>
  <si>
    <t xml:space="preserve">T000300</t>
  </si>
  <si>
    <t xml:space="preserve">T000301</t>
  </si>
  <si>
    <t xml:space="preserve">T000302</t>
  </si>
  <si>
    <t xml:space="preserve">T000303</t>
  </si>
  <si>
    <t xml:space="preserve">T000304</t>
  </si>
  <si>
    <t xml:space="preserve">T000305</t>
  </si>
  <si>
    <t xml:space="preserve">T000306</t>
  </si>
  <si>
    <t xml:space="preserve">T000307</t>
  </si>
  <si>
    <t xml:space="preserve">T000308</t>
  </si>
  <si>
    <t xml:space="preserve">T000309</t>
  </si>
  <si>
    <t xml:space="preserve">T000310</t>
  </si>
  <si>
    <t xml:space="preserve">T000311</t>
  </si>
  <si>
    <t xml:space="preserve">T000312</t>
  </si>
  <si>
    <t xml:space="preserve">T000313</t>
  </si>
  <si>
    <t xml:space="preserve">T000314</t>
  </si>
  <si>
    <t xml:space="preserve">T000315</t>
  </si>
  <si>
    <t xml:space="preserve">T000316</t>
  </si>
  <si>
    <t xml:space="preserve">T000317</t>
  </si>
  <si>
    <t xml:space="preserve">T000318</t>
  </si>
  <si>
    <t xml:space="preserve">T000319</t>
  </si>
  <si>
    <t xml:space="preserve">T000320</t>
  </si>
  <si>
    <t xml:space="preserve">T000321</t>
  </si>
  <si>
    <t xml:space="preserve">T000322</t>
  </si>
  <si>
    <t xml:space="preserve">T000323</t>
  </si>
  <si>
    <t xml:space="preserve">T000324</t>
  </si>
  <si>
    <t xml:space="preserve">T000325</t>
  </si>
  <si>
    <t xml:space="preserve">T000326</t>
  </si>
  <si>
    <t xml:space="preserve">T000327</t>
  </si>
  <si>
    <t xml:space="preserve">T000328</t>
  </si>
  <si>
    <t xml:space="preserve">T000329</t>
  </si>
  <si>
    <t xml:space="preserve">T000330</t>
  </si>
  <si>
    <t xml:space="preserve">T000331</t>
  </si>
  <si>
    <t xml:space="preserve">T000332</t>
  </si>
  <si>
    <t xml:space="preserve">T000333</t>
  </si>
  <si>
    <t xml:space="preserve">T000334</t>
  </si>
  <si>
    <t xml:space="preserve">T000335</t>
  </si>
  <si>
    <t xml:space="preserve">T000336</t>
  </si>
  <si>
    <t xml:space="preserve">T000337</t>
  </si>
  <si>
    <t xml:space="preserve">T000339</t>
  </si>
  <si>
    <t xml:space="preserve">T000340</t>
  </si>
  <si>
    <t xml:space="preserve">T000341</t>
  </si>
  <si>
    <t xml:space="preserve">T000342</t>
  </si>
  <si>
    <t xml:space="preserve">T000343</t>
  </si>
  <si>
    <t xml:space="preserve">T000344</t>
  </si>
  <si>
    <t xml:space="preserve">T000345</t>
  </si>
  <si>
    <t xml:space="preserve">T000346</t>
  </si>
  <si>
    <t xml:space="preserve">T000347</t>
  </si>
  <si>
    <t xml:space="preserve">T000348</t>
  </si>
  <si>
    <t xml:space="preserve">T000349</t>
  </si>
  <si>
    <t xml:space="preserve">T000350</t>
  </si>
  <si>
    <t xml:space="preserve">T000351</t>
  </si>
  <si>
    <t xml:space="preserve">T000352</t>
  </si>
  <si>
    <t xml:space="preserve">T000353</t>
  </si>
  <si>
    <t xml:space="preserve">T000354</t>
  </si>
  <si>
    <t xml:space="preserve">T000355</t>
  </si>
  <si>
    <t xml:space="preserve">T000356</t>
  </si>
  <si>
    <t xml:space="preserve">T000357</t>
  </si>
  <si>
    <t xml:space="preserve">T000358</t>
  </si>
  <si>
    <t xml:space="preserve">T000360</t>
  </si>
  <si>
    <t xml:space="preserve">T000361</t>
  </si>
  <si>
    <t xml:space="preserve">T000362</t>
  </si>
  <si>
    <t xml:space="preserve">T000363</t>
  </si>
  <si>
    <t xml:space="preserve">T000364</t>
  </si>
  <si>
    <t xml:space="preserve">T000365</t>
  </si>
  <si>
    <t xml:space="preserve">T000366</t>
  </si>
  <si>
    <t xml:space="preserve">T000367</t>
  </si>
  <si>
    <t xml:space="preserve">T000368</t>
  </si>
  <si>
    <t xml:space="preserve">T000369</t>
  </si>
  <si>
    <t xml:space="preserve">T000371</t>
  </si>
  <si>
    <t xml:space="preserve">T000372</t>
  </si>
  <si>
    <t xml:space="preserve">T000373</t>
  </si>
  <si>
    <t xml:space="preserve">T000374</t>
  </si>
  <si>
    <t xml:space="preserve">T000375</t>
  </si>
  <si>
    <t xml:space="preserve">T000376</t>
  </si>
  <si>
    <t xml:space="preserve">T000377</t>
  </si>
  <si>
    <t xml:space="preserve">T000378</t>
  </si>
  <si>
    <t xml:space="preserve">T000379</t>
  </si>
  <si>
    <t xml:space="preserve">T000380</t>
  </si>
  <si>
    <t xml:space="preserve">T000381</t>
  </si>
  <si>
    <t xml:space="preserve">T000382</t>
  </si>
  <si>
    <t xml:space="preserve">T000383</t>
  </si>
  <si>
    <t xml:space="preserve">T000384</t>
  </si>
  <si>
    <t xml:space="preserve">T000385</t>
  </si>
  <si>
    <t xml:space="preserve">T000386</t>
  </si>
  <si>
    <t xml:space="preserve">T000387</t>
  </si>
  <si>
    <t xml:space="preserve">T000388</t>
  </si>
  <si>
    <t xml:space="preserve">T000389</t>
  </si>
  <si>
    <t xml:space="preserve">T000390</t>
  </si>
  <si>
    <t xml:space="preserve">T000391</t>
  </si>
  <si>
    <t xml:space="preserve">T000392</t>
  </si>
  <si>
    <t xml:space="preserve">T000393</t>
  </si>
  <si>
    <t xml:space="preserve">T000394</t>
  </si>
  <si>
    <t xml:space="preserve">T000395</t>
  </si>
  <si>
    <t xml:space="preserve">T000396</t>
  </si>
  <si>
    <t xml:space="preserve">T000397</t>
  </si>
  <si>
    <t xml:space="preserve">T000398</t>
  </si>
  <si>
    <t xml:space="preserve">T000399</t>
  </si>
  <si>
    <t xml:space="preserve">T000400</t>
  </si>
  <si>
    <t xml:space="preserve">T000401</t>
  </si>
  <si>
    <t xml:space="preserve">T000402</t>
  </si>
  <si>
    <t xml:space="preserve">T000403</t>
  </si>
  <si>
    <t xml:space="preserve">T000405</t>
  </si>
  <si>
    <t xml:space="preserve">T000406</t>
  </si>
  <si>
    <t xml:space="preserve">T000407</t>
  </si>
  <si>
    <t xml:space="preserve">T000408</t>
  </si>
  <si>
    <t xml:space="preserve">T000410</t>
  </si>
  <si>
    <t xml:space="preserve">T000411</t>
  </si>
  <si>
    <t xml:space="preserve">T000412</t>
  </si>
  <si>
    <t xml:space="preserve">T000413</t>
  </si>
  <si>
    <t xml:space="preserve">T000414</t>
  </si>
  <si>
    <t xml:space="preserve">T000415</t>
  </si>
  <si>
    <t xml:space="preserve">T000418</t>
  </si>
  <si>
    <t xml:space="preserve">T000419</t>
  </si>
  <si>
    <t xml:space="preserve">T000420</t>
  </si>
  <si>
    <t xml:space="preserve">T000421</t>
  </si>
  <si>
    <t xml:space="preserve">T000422</t>
  </si>
  <si>
    <t xml:space="preserve">T000423</t>
  </si>
  <si>
    <t xml:space="preserve">T000424</t>
  </si>
  <si>
    <t xml:space="preserve">T000425</t>
  </si>
  <si>
    <t xml:space="preserve">T000426</t>
  </si>
  <si>
    <t xml:space="preserve">T000427</t>
  </si>
  <si>
    <t xml:space="preserve">T000428</t>
  </si>
  <si>
    <t xml:space="preserve">T000429</t>
  </si>
  <si>
    <t xml:space="preserve">T000430</t>
  </si>
  <si>
    <t xml:space="preserve">T000431</t>
  </si>
  <si>
    <t xml:space="preserve">T000432</t>
  </si>
  <si>
    <t xml:space="preserve">T000434</t>
  </si>
  <si>
    <t xml:space="preserve">T000435</t>
  </si>
  <si>
    <t xml:space="preserve">T000436</t>
  </si>
  <si>
    <t xml:space="preserve">T000437</t>
  </si>
  <si>
    <t xml:space="preserve">T000438</t>
  </si>
  <si>
    <t xml:space="preserve">T000439</t>
  </si>
  <si>
    <t xml:space="preserve">T000440</t>
  </si>
  <si>
    <t xml:space="preserve">T000441</t>
  </si>
  <si>
    <t xml:space="preserve">T000442</t>
  </si>
  <si>
    <t xml:space="preserve">T000443</t>
  </si>
  <si>
    <t xml:space="preserve">T000444</t>
  </si>
  <si>
    <t xml:space="preserve">T000445</t>
  </si>
  <si>
    <t xml:space="preserve">T000446</t>
  </si>
  <si>
    <t xml:space="preserve">T000447</t>
  </si>
  <si>
    <t xml:space="preserve">T000448</t>
  </si>
  <si>
    <t xml:space="preserve">T000449</t>
  </si>
  <si>
    <t xml:space="preserve">T000450</t>
  </si>
  <si>
    <t xml:space="preserve">T000451</t>
  </si>
  <si>
    <t xml:space="preserve">T000452</t>
  </si>
  <si>
    <t xml:space="preserve">T000454</t>
  </si>
  <si>
    <t xml:space="preserve">T000455</t>
  </si>
  <si>
    <t xml:space="preserve">T000456</t>
  </si>
  <si>
    <t xml:space="preserve">T000457</t>
  </si>
  <si>
    <t xml:space="preserve">T000458</t>
  </si>
  <si>
    <t xml:space="preserve">T000459</t>
  </si>
  <si>
    <t xml:space="preserve">T000460</t>
  </si>
  <si>
    <t xml:space="preserve">T000461</t>
  </si>
  <si>
    <t xml:space="preserve">T000463</t>
  </si>
  <si>
    <t xml:space="preserve">T000464</t>
  </si>
  <si>
    <t xml:space="preserve">T000465</t>
  </si>
  <si>
    <t xml:space="preserve">T000466</t>
  </si>
  <si>
    <t xml:space="preserve">T000467</t>
  </si>
  <si>
    <t xml:space="preserve">T000468</t>
  </si>
  <si>
    <t xml:space="preserve">T000469</t>
  </si>
  <si>
    <t xml:space="preserve">T000470</t>
  </si>
  <si>
    <t xml:space="preserve">T000471</t>
  </si>
  <si>
    <t xml:space="preserve">T000472</t>
  </si>
  <si>
    <t xml:space="preserve">T000473</t>
  </si>
  <si>
    <t xml:space="preserve">T000474</t>
  </si>
  <si>
    <t xml:space="preserve">T000475</t>
  </si>
  <si>
    <t xml:space="preserve">T000476</t>
  </si>
  <si>
    <t xml:space="preserve">T000477</t>
  </si>
  <si>
    <t xml:space="preserve">T000478</t>
  </si>
  <si>
    <t xml:space="preserve">T000479</t>
  </si>
  <si>
    <t xml:space="preserve">T000480</t>
  </si>
  <si>
    <t xml:space="preserve">T000481</t>
  </si>
  <si>
    <t xml:space="preserve">T000482</t>
  </si>
  <si>
    <t xml:space="preserve">T000483</t>
  </si>
  <si>
    <t xml:space="preserve">T000484</t>
  </si>
  <si>
    <t xml:space="preserve">T000485</t>
  </si>
  <si>
    <t xml:space="preserve">T000486</t>
  </si>
  <si>
    <t xml:space="preserve">T000487</t>
  </si>
  <si>
    <t xml:space="preserve">T000488</t>
  </si>
  <si>
    <t xml:space="preserve">T000489</t>
  </si>
  <si>
    <t xml:space="preserve">T000490</t>
  </si>
  <si>
    <t xml:space="preserve">T000491</t>
  </si>
  <si>
    <t xml:space="preserve">T000492</t>
  </si>
  <si>
    <t xml:space="preserve">T000493</t>
  </si>
  <si>
    <t xml:space="preserve">T000494</t>
  </si>
  <si>
    <t xml:space="preserve">T000495</t>
  </si>
  <si>
    <t xml:space="preserve">T000496</t>
  </si>
  <si>
    <t xml:space="preserve">T000497</t>
  </si>
  <si>
    <t xml:space="preserve">T000498</t>
  </si>
  <si>
    <t xml:space="preserve">T000499</t>
  </si>
  <si>
    <t xml:space="preserve">T000500</t>
  </si>
  <si>
    <t xml:space="preserve">T000501</t>
  </si>
  <si>
    <t xml:space="preserve">T000502</t>
  </si>
  <si>
    <t xml:space="preserve">T000503</t>
  </si>
  <si>
    <t xml:space="preserve">T000504</t>
  </si>
  <si>
    <t xml:space="preserve">T000505</t>
  </si>
  <si>
    <t xml:space="preserve">T000506</t>
  </si>
  <si>
    <t xml:space="preserve">T000507</t>
  </si>
  <si>
    <t xml:space="preserve">T000508</t>
  </si>
  <si>
    <t xml:space="preserve">T000509</t>
  </si>
  <si>
    <t xml:space="preserve">T000510</t>
  </si>
  <si>
    <t xml:space="preserve">T000511</t>
  </si>
  <si>
    <t xml:space="preserve">T000512</t>
  </si>
  <si>
    <t xml:space="preserve">T000513</t>
  </si>
  <si>
    <t xml:space="preserve">T000514</t>
  </si>
  <si>
    <t xml:space="preserve">T000515</t>
  </si>
  <si>
    <t xml:space="preserve">T000516</t>
  </si>
  <si>
    <t xml:space="preserve">T000517</t>
  </si>
  <si>
    <t xml:space="preserve">T000518</t>
  </si>
  <si>
    <t xml:space="preserve">T000519</t>
  </si>
  <si>
    <t xml:space="preserve">T000520</t>
  </si>
  <si>
    <t xml:space="preserve">T000521</t>
  </si>
  <si>
    <t xml:space="preserve">T000522</t>
  </si>
  <si>
    <t xml:space="preserve">T000523</t>
  </si>
  <si>
    <t xml:space="preserve">T000524</t>
  </si>
  <si>
    <t xml:space="preserve">T000525</t>
  </si>
  <si>
    <t xml:space="preserve">T000526</t>
  </si>
  <si>
    <t xml:space="preserve">T000527</t>
  </si>
  <si>
    <t xml:space="preserve">T000528</t>
  </si>
  <si>
    <t xml:space="preserve">T000529</t>
  </si>
  <si>
    <t xml:space="preserve">T000530</t>
  </si>
  <si>
    <t xml:space="preserve">T000531</t>
  </si>
  <si>
    <t xml:space="preserve">T000532</t>
  </si>
  <si>
    <t xml:space="preserve">T000533</t>
  </si>
  <si>
    <t xml:space="preserve">T000534</t>
  </si>
  <si>
    <t xml:space="preserve">T000535</t>
  </si>
  <si>
    <t xml:space="preserve">T000536</t>
  </si>
  <si>
    <t xml:space="preserve">T000537</t>
  </si>
  <si>
    <t xml:space="preserve">T000538</t>
  </si>
  <si>
    <t xml:space="preserve">T000539</t>
  </si>
  <si>
    <t xml:space="preserve">T000540</t>
  </si>
  <si>
    <t xml:space="preserve">T000541</t>
  </si>
  <si>
    <t xml:space="preserve">T000542</t>
  </si>
  <si>
    <t xml:space="preserve">T000543</t>
  </si>
  <si>
    <t xml:space="preserve">T000544</t>
  </si>
  <si>
    <t xml:space="preserve">T000545</t>
  </si>
  <si>
    <t xml:space="preserve">T000546</t>
  </si>
  <si>
    <t xml:space="preserve">T000548</t>
  </si>
  <si>
    <t xml:space="preserve">T000549</t>
  </si>
  <si>
    <t xml:space="preserve">T000551</t>
  </si>
  <si>
    <t xml:space="preserve">T000552</t>
  </si>
  <si>
    <t xml:space="preserve">T000553</t>
  </si>
  <si>
    <t xml:space="preserve">T000554</t>
  </si>
  <si>
    <t xml:space="preserve">T000555</t>
  </si>
  <si>
    <t xml:space="preserve">T000557</t>
  </si>
  <si>
    <t xml:space="preserve">T000558</t>
  </si>
  <si>
    <t xml:space="preserve">T000559</t>
  </si>
  <si>
    <t xml:space="preserve">T000560</t>
  </si>
  <si>
    <t xml:space="preserve">T000561</t>
  </si>
  <si>
    <t xml:space="preserve">T000562</t>
  </si>
  <si>
    <t xml:space="preserve">T000563</t>
  </si>
  <si>
    <t xml:space="preserve">T000565</t>
  </si>
  <si>
    <t xml:space="preserve">T000566</t>
  </si>
  <si>
    <t xml:space="preserve">T000567</t>
  </si>
  <si>
    <t xml:space="preserve">T000568</t>
  </si>
  <si>
    <t xml:space="preserve">T000569</t>
  </si>
  <si>
    <t xml:space="preserve">T000570</t>
  </si>
  <si>
    <t xml:space="preserve">T000571</t>
  </si>
  <si>
    <t xml:space="preserve">T000572</t>
  </si>
  <si>
    <t xml:space="preserve">T000573</t>
  </si>
  <si>
    <t xml:space="preserve">T000574</t>
  </si>
  <si>
    <t xml:space="preserve">T000575</t>
  </si>
  <si>
    <t xml:space="preserve">T000576</t>
  </si>
  <si>
    <t xml:space="preserve">T000577</t>
  </si>
  <si>
    <t xml:space="preserve">T000578</t>
  </si>
  <si>
    <t xml:space="preserve">T000579</t>
  </si>
  <si>
    <t xml:space="preserve">T000580</t>
  </si>
  <si>
    <t xml:space="preserve">T000581</t>
  </si>
  <si>
    <t xml:space="preserve">T000582</t>
  </si>
  <si>
    <t xml:space="preserve">T000583</t>
  </si>
  <si>
    <t xml:space="preserve">T000584</t>
  </si>
  <si>
    <t xml:space="preserve">T000585</t>
  </si>
  <si>
    <t xml:space="preserve">T000586</t>
  </si>
  <si>
    <t xml:space="preserve">T000587</t>
  </si>
  <si>
    <t xml:space="preserve">T000588</t>
  </si>
  <si>
    <t xml:space="preserve">T000590</t>
  </si>
  <si>
    <t xml:space="preserve">T000591</t>
  </si>
  <si>
    <t xml:space="preserve">T000592</t>
  </si>
  <si>
    <t xml:space="preserve">T000593</t>
  </si>
  <si>
    <t xml:space="preserve">T000594</t>
  </si>
  <si>
    <t xml:space="preserve">T000595</t>
  </si>
  <si>
    <t xml:space="preserve">T000596</t>
  </si>
  <si>
    <t xml:space="preserve">T000597</t>
  </si>
  <si>
    <t xml:space="preserve">T000598</t>
  </si>
  <si>
    <t xml:space="preserve">T000599</t>
  </si>
  <si>
    <t xml:space="preserve">T000600</t>
  </si>
  <si>
    <t xml:space="preserve">T000601</t>
  </si>
  <si>
    <t xml:space="preserve">T000602</t>
  </si>
  <si>
    <t xml:space="preserve">T000603</t>
  </si>
  <si>
    <t xml:space="preserve">T000604</t>
  </si>
  <si>
    <t xml:space="preserve">T000605</t>
  </si>
  <si>
    <t xml:space="preserve">T000606</t>
  </si>
  <si>
    <t xml:space="preserve">T000607</t>
  </si>
  <si>
    <t xml:space="preserve">T000608</t>
  </si>
  <si>
    <t xml:space="preserve">T000609</t>
  </si>
  <si>
    <t xml:space="preserve">T000610</t>
  </si>
  <si>
    <t xml:space="preserve">T000611</t>
  </si>
  <si>
    <t xml:space="preserve">T000612</t>
  </si>
  <si>
    <t xml:space="preserve">T000613</t>
  </si>
  <si>
    <t xml:space="preserve">T000614</t>
  </si>
  <si>
    <t xml:space="preserve">T000615</t>
  </si>
  <si>
    <t xml:space="preserve">T000616</t>
  </si>
  <si>
    <t xml:space="preserve">T000617</t>
  </si>
  <si>
    <t xml:space="preserve">T000618</t>
  </si>
  <si>
    <t xml:space="preserve">T000620</t>
  </si>
  <si>
    <t xml:space="preserve">T000621</t>
  </si>
  <si>
    <t xml:space="preserve">T000622</t>
  </si>
  <si>
    <t xml:space="preserve">T000623</t>
  </si>
  <si>
    <t xml:space="preserve">T000624</t>
  </si>
  <si>
    <t xml:space="preserve">T000625</t>
  </si>
  <si>
    <t xml:space="preserve">T000626</t>
  </si>
  <si>
    <t xml:space="preserve">T000627</t>
  </si>
  <si>
    <t xml:space="preserve">T000628</t>
  </si>
  <si>
    <t xml:space="preserve">T000629</t>
  </si>
  <si>
    <t xml:space="preserve">T000630</t>
  </si>
  <si>
    <t xml:space="preserve">T000631</t>
  </si>
  <si>
    <t xml:space="preserve">T000632</t>
  </si>
  <si>
    <t xml:space="preserve">T000633</t>
  </si>
  <si>
    <t xml:space="preserve">T000634</t>
  </si>
  <si>
    <t xml:space="preserve">T000635</t>
  </si>
  <si>
    <t xml:space="preserve">T000636</t>
  </si>
  <si>
    <t xml:space="preserve">T000637</t>
  </si>
  <si>
    <t xml:space="preserve">T000638</t>
  </si>
  <si>
    <t xml:space="preserve">T000639</t>
  </si>
  <si>
    <t xml:space="preserve">T000640</t>
  </si>
  <si>
    <t xml:space="preserve">T000641</t>
  </si>
  <si>
    <t xml:space="preserve">T000642</t>
  </si>
  <si>
    <t xml:space="preserve">T000643</t>
  </si>
  <si>
    <t xml:space="preserve">T000644</t>
  </si>
  <si>
    <t xml:space="preserve">T000645</t>
  </si>
  <si>
    <t xml:space="preserve">T000646</t>
  </si>
  <si>
    <t xml:space="preserve">T000647</t>
  </si>
  <si>
    <t xml:space="preserve">T000648</t>
  </si>
  <si>
    <t xml:space="preserve">T000649</t>
  </si>
  <si>
    <t xml:space="preserve">T000650</t>
  </si>
  <si>
    <t xml:space="preserve">T000651</t>
  </si>
  <si>
    <t xml:space="preserve">T000652</t>
  </si>
  <si>
    <t xml:space="preserve">T000654</t>
  </si>
  <si>
    <t xml:space="preserve">T000655</t>
  </si>
  <si>
    <t xml:space="preserve">T000656</t>
  </si>
  <si>
    <t xml:space="preserve">T000657</t>
  </si>
  <si>
    <t xml:space="preserve">T000658</t>
  </si>
  <si>
    <t xml:space="preserve">T000659</t>
  </si>
  <si>
    <t xml:space="preserve">T000660</t>
  </si>
  <si>
    <t xml:space="preserve">T000662</t>
  </si>
  <si>
    <t xml:space="preserve">T000663</t>
  </si>
  <si>
    <t xml:space="preserve">T000664</t>
  </si>
  <si>
    <t xml:space="preserve">T000665</t>
  </si>
  <si>
    <t xml:space="preserve">T000666</t>
  </si>
  <si>
    <t xml:space="preserve">T000667</t>
  </si>
  <si>
    <t xml:space="preserve">T000668</t>
  </si>
  <si>
    <t xml:space="preserve">T000669</t>
  </si>
  <si>
    <t xml:space="preserve">T000670</t>
  </si>
  <si>
    <t xml:space="preserve">T000671</t>
  </si>
  <si>
    <t xml:space="preserve">T000672</t>
  </si>
  <si>
    <t xml:space="preserve">T000673</t>
  </si>
  <si>
    <t xml:space="preserve">T000674</t>
  </si>
  <si>
    <t xml:space="preserve">T000676</t>
  </si>
  <si>
    <t xml:space="preserve">T000677</t>
  </si>
  <si>
    <t xml:space="preserve">T000679</t>
  </si>
  <si>
    <t xml:space="preserve">T000680</t>
  </si>
  <si>
    <t xml:space="preserve">T000681</t>
  </si>
  <si>
    <t xml:space="preserve">T000682</t>
  </si>
  <si>
    <t xml:space="preserve">T000683</t>
  </si>
  <si>
    <t xml:space="preserve">T000684</t>
  </si>
  <si>
    <t xml:space="preserve">T000685</t>
  </si>
  <si>
    <t xml:space="preserve">T000686</t>
  </si>
  <si>
    <t xml:space="preserve">T000687</t>
  </si>
  <si>
    <t xml:space="preserve">T000688</t>
  </si>
  <si>
    <t xml:space="preserve">T000690</t>
  </si>
  <si>
    <t xml:space="preserve">Сводка: model × location (формулы COUNTIFS/SUMIFS по листу Raw)</t>
  </si>
  <si>
    <t xml:space="preserve">Вычисляемое поле Success Rate в сводной таблице Excel не умеет считать «долю status = success» — поэтому в Raw добавлен столбец is_success (1/0), а Success Rate = SUM(is_success) / COUNT.</t>
  </si>
  <si>
    <t xml:space="preserve">txns</t>
  </si>
  <si>
    <t xml:space="preserve">sum_amount, ₽</t>
  </si>
  <si>
    <t xml:space="preserve">success_txns</t>
  </si>
  <si>
    <t xml:space="preserve">success_rate</t>
  </si>
  <si>
    <t xml:space="preserve">ИТОГО</t>
  </si>
  <si>
    <t xml:space="preserve">model_cost — стоимость обслуживания одной транзакции, ₽ (условные значения для учебного проекта)</t>
  </si>
  <si>
    <t xml:space="preserve">cost_per_txn_rub</t>
  </si>
  <si>
    <t xml:space="preserve">service_cost_rub (СУММЕСЛИ)</t>
  </si>
  <si>
    <t xml:space="preserve">Проверка: ИТОГО txns должно равняться числу строк Raw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</si>
</sst>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h:mm:ss"/>
    <numFmt numFmtId="166" formatCode="yyyy\-mm\-dd\ hh:mm"/>
    <numFmt numFmtId="167" formatCode="#,##0"/>
    <numFmt numFmtId="168" formatCode="0.0%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4" min="14" style="0" width="10"/>
    <col collapsed="false" customWidth="true" hidden="false" outlineLevel="0" max="15" min="15" style="0" width="30"/>
    <col collapsed="false" customWidth="true" hidden="false" outlineLevel="0" max="16" min="16" style="0" width="10"/>
    <col collapsed="false" customWidth="true" hidden="false" outlineLevel="0" max="17" min="17" style="0" width="17"/>
    <col collapsed="false" customWidth="true" hidden="false" outlineLevel="0" max="18" min="18" style="0" width="12"/>
    <col collapsed="false" customWidth="true" hidden="false" outlineLevel="0" max="19" min="19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1</v>
      </c>
      <c r="O1" s="1" t="s">
        <v>11</v>
      </c>
      <c r="P1" s="1" t="s">
        <v>12</v>
      </c>
      <c r="Q1" s="1" t="s">
        <v>13</v>
      </c>
      <c r="R1" s="1" t="s">
        <v>5</v>
      </c>
      <c r="S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3" t="n">
        <v>46266.1575347222</v>
      </c>
      <c r="D2" s="2" t="s">
        <v>17</v>
      </c>
      <c r="E2" s="2" t="n">
        <v>15000</v>
      </c>
      <c r="F2" s="2" t="s">
        <v>18</v>
      </c>
      <c r="G2" s="2"/>
      <c r="H2" s="2" t="str">
        <f aca="false">VLOOKUP(B2,$N$2:$S$41,3,FALSE())</f>
        <v>Model-X</v>
      </c>
      <c r="I2" s="2" t="str">
        <f aca="false">VLOOKUP(B2,$N$2:$S$41,2,FALSE())</f>
        <v>Москва, Тверская</v>
      </c>
      <c r="J2" s="2" t="n">
        <f aca="false">IF(F2="success",1,0)</f>
        <v>1</v>
      </c>
      <c r="K2" s="2" t="n">
        <f aca="false">VLOOKUP(H2,Lookup!$A$4:$B$6,2,FALSE())</f>
        <v>18</v>
      </c>
      <c r="N2" s="2" t="s">
        <v>16</v>
      </c>
      <c r="O2" s="2" t="s">
        <v>19</v>
      </c>
      <c r="P2" s="2" t="s">
        <v>20</v>
      </c>
      <c r="Q2" s="4" t="n">
        <v>46295.9194328704</v>
      </c>
      <c r="R2" s="2" t="s">
        <v>21</v>
      </c>
      <c r="S2" s="2" t="n">
        <v>31</v>
      </c>
    </row>
    <row r="3" customFormat="false" ht="15" hidden="false" customHeight="false" outlineLevel="0" collapsed="false">
      <c r="A3" s="2" t="s">
        <v>22</v>
      </c>
      <c r="B3" s="2" t="s">
        <v>23</v>
      </c>
      <c r="C3" s="3" t="n">
        <v>46266.3170486111</v>
      </c>
      <c r="D3" s="2" t="s">
        <v>17</v>
      </c>
      <c r="E3" s="2" t="n">
        <v>15000</v>
      </c>
      <c r="F3" s="2" t="s">
        <v>18</v>
      </c>
      <c r="G3" s="2"/>
      <c r="H3" s="2" t="str">
        <f aca="false">VLOOKUP(B3,$N$2:$S$41,3,FALSE())</f>
        <v>Model-X</v>
      </c>
      <c r="I3" s="2" t="str">
        <f aca="false">VLOOKUP(B3,$N$2:$S$41,2,FALSE())</f>
        <v>Воронеж, Кольцовская</v>
      </c>
      <c r="J3" s="2" t="n">
        <f aca="false">IF(F3="success",1,0)</f>
        <v>1</v>
      </c>
      <c r="K3" s="2" t="n">
        <f aca="false">VLOOKUP(H3,Lookup!$A$4:$B$6,2,FALSE())</f>
        <v>18</v>
      </c>
      <c r="N3" s="2" t="s">
        <v>24</v>
      </c>
      <c r="O3" s="2" t="s">
        <v>25</v>
      </c>
      <c r="P3" s="2" t="s">
        <v>26</v>
      </c>
      <c r="Q3" s="4" t="n">
        <v>46295.8034606482</v>
      </c>
      <c r="R3" s="2" t="s">
        <v>21</v>
      </c>
      <c r="S3" s="2" t="n">
        <v>59</v>
      </c>
    </row>
    <row r="4" customFormat="false" ht="15" hidden="false" customHeight="false" outlineLevel="0" collapsed="false">
      <c r="A4" s="2" t="s">
        <v>27</v>
      </c>
      <c r="B4" s="2" t="s">
        <v>28</v>
      </c>
      <c r="C4" s="3" t="n">
        <v>46266.3809837963</v>
      </c>
      <c r="D4" s="2" t="s">
        <v>29</v>
      </c>
      <c r="E4" s="2" t="n">
        <v>0</v>
      </c>
      <c r="F4" s="2" t="s">
        <v>18</v>
      </c>
      <c r="G4" s="2"/>
      <c r="H4" s="2" t="str">
        <f aca="false">VLOOKUP(B4,$N$2:$S$41,3,FALSE())</f>
        <v>Model-X</v>
      </c>
      <c r="I4" s="2" t="str">
        <f aca="false">VLOOKUP(B4,$N$2:$S$41,2,FALSE())</f>
        <v>Новосибирск, Дуси Ковальчук</v>
      </c>
      <c r="J4" s="2" t="n">
        <f aca="false">IF(F4="success",1,0)</f>
        <v>1</v>
      </c>
      <c r="K4" s="2" t="n">
        <f aca="false">VLOOKUP(H4,Lookup!$A$4:$B$6,2,FALSE())</f>
        <v>18</v>
      </c>
      <c r="N4" s="2" t="s">
        <v>30</v>
      </c>
      <c r="O4" s="2" t="s">
        <v>31</v>
      </c>
      <c r="P4" s="2" t="s">
        <v>32</v>
      </c>
      <c r="Q4" s="4" t="n">
        <v>46295.8402662037</v>
      </c>
      <c r="R4" s="2" t="s">
        <v>21</v>
      </c>
      <c r="S4" s="2" t="n">
        <v>12</v>
      </c>
    </row>
    <row r="5" customFormat="false" ht="15" hidden="false" customHeight="false" outlineLevel="0" collapsed="false">
      <c r="A5" s="2" t="s">
        <v>33</v>
      </c>
      <c r="B5" s="2" t="s">
        <v>34</v>
      </c>
      <c r="C5" s="3" t="n">
        <v>46266.3853356482</v>
      </c>
      <c r="D5" s="2" t="s">
        <v>29</v>
      </c>
      <c r="E5" s="2" t="n">
        <v>0</v>
      </c>
      <c r="F5" s="2" t="s">
        <v>18</v>
      </c>
      <c r="G5" s="2"/>
      <c r="H5" s="2" t="str">
        <f aca="false">VLOOKUP(B5,$N$2:$S$41,3,FALSE())</f>
        <v>Model-X</v>
      </c>
      <c r="I5" s="2" t="str">
        <f aca="false">VLOOKUP(B5,$N$2:$S$41,2,FALSE())</f>
        <v>Москва, Профсоюзная</v>
      </c>
      <c r="J5" s="2" t="n">
        <f aca="false">IF(F5="success",1,0)</f>
        <v>1</v>
      </c>
      <c r="K5" s="2" t="n">
        <f aca="false">VLOOKUP(H5,Lookup!$A$4:$B$6,2,FALSE())</f>
        <v>18</v>
      </c>
      <c r="N5" s="2" t="s">
        <v>35</v>
      </c>
      <c r="O5" s="2" t="s">
        <v>36</v>
      </c>
      <c r="P5" s="2" t="s">
        <v>20</v>
      </c>
      <c r="Q5" s="4" t="n">
        <v>46295.9263773148</v>
      </c>
      <c r="R5" s="2" t="s">
        <v>21</v>
      </c>
      <c r="S5" s="2" t="n">
        <v>39</v>
      </c>
    </row>
    <row r="6" customFormat="false" ht="15" hidden="false" customHeight="false" outlineLevel="0" collapsed="false">
      <c r="A6" s="2" t="s">
        <v>37</v>
      </c>
      <c r="B6" s="2" t="s">
        <v>38</v>
      </c>
      <c r="C6" s="3" t="n">
        <v>46266.3904513889</v>
      </c>
      <c r="D6" s="2" t="s">
        <v>17</v>
      </c>
      <c r="E6" s="2" t="n">
        <v>1000</v>
      </c>
      <c r="F6" s="2" t="s">
        <v>18</v>
      </c>
      <c r="G6" s="2"/>
      <c r="H6" s="2" t="str">
        <f aca="false">VLOOKUP(B6,$N$2:$S$41,3,FALSE())</f>
        <v>Model-Z</v>
      </c>
      <c r="I6" s="2" t="str">
        <f aca="false">VLOOKUP(B6,$N$2:$S$41,2,FALSE())</f>
        <v>Казань, Кремлёвская</v>
      </c>
      <c r="J6" s="2" t="n">
        <f aca="false">IF(F6="success",1,0)</f>
        <v>1</v>
      </c>
      <c r="K6" s="2" t="n">
        <f aca="false">VLOOKUP(H6,Lookup!$A$4:$B$6,2,FALSE())</f>
        <v>16</v>
      </c>
      <c r="N6" s="2" t="s">
        <v>39</v>
      </c>
      <c r="O6" s="2" t="s">
        <v>40</v>
      </c>
      <c r="P6" s="2" t="s">
        <v>26</v>
      </c>
      <c r="Q6" s="4" t="n">
        <v>46295.698599537</v>
      </c>
      <c r="R6" s="2" t="s">
        <v>21</v>
      </c>
      <c r="S6" s="2" t="n">
        <v>32</v>
      </c>
    </row>
    <row r="7" customFormat="false" ht="15" hidden="false" customHeight="false" outlineLevel="0" collapsed="false">
      <c r="A7" s="2" t="s">
        <v>41</v>
      </c>
      <c r="B7" s="2" t="s">
        <v>42</v>
      </c>
      <c r="C7" s="3" t="n">
        <v>46266.4632175926</v>
      </c>
      <c r="D7" s="2" t="s">
        <v>29</v>
      </c>
      <c r="E7" s="2" t="n">
        <v>0</v>
      </c>
      <c r="F7" s="2" t="s">
        <v>18</v>
      </c>
      <c r="G7" s="2"/>
      <c r="H7" s="2" t="str">
        <f aca="false">VLOOKUP(B7,$N$2:$S$41,3,FALSE())</f>
        <v>Model-X</v>
      </c>
      <c r="I7" s="2" t="str">
        <f aca="false">VLOOKUP(B7,$N$2:$S$41,2,FALSE())</f>
        <v>Краснодар, Гимназическая</v>
      </c>
      <c r="J7" s="2" t="n">
        <f aca="false">IF(F7="success",1,0)</f>
        <v>1</v>
      </c>
      <c r="K7" s="2" t="n">
        <f aca="false">VLOOKUP(H7,Lookup!$A$4:$B$6,2,FALSE())</f>
        <v>18</v>
      </c>
      <c r="N7" s="2" t="s">
        <v>34</v>
      </c>
      <c r="O7" s="2" t="s">
        <v>43</v>
      </c>
      <c r="P7" s="2" t="s">
        <v>20</v>
      </c>
      <c r="Q7" s="4" t="n">
        <v>46295.9777662037</v>
      </c>
      <c r="R7" s="2" t="s">
        <v>21</v>
      </c>
      <c r="S7" s="2" t="n">
        <v>39</v>
      </c>
    </row>
    <row r="8" customFormat="false" ht="15" hidden="false" customHeight="false" outlineLevel="0" collapsed="false">
      <c r="A8" s="2" t="s">
        <v>44</v>
      </c>
      <c r="B8" s="2" t="s">
        <v>45</v>
      </c>
      <c r="C8" s="3" t="n">
        <v>46266.4778935185</v>
      </c>
      <c r="D8" s="2" t="s">
        <v>46</v>
      </c>
      <c r="E8" s="2" t="n">
        <v>7000</v>
      </c>
      <c r="F8" s="2" t="s">
        <v>18</v>
      </c>
      <c r="G8" s="2"/>
      <c r="H8" s="2" t="str">
        <f aca="false">VLOOKUP(B8,$N$2:$S$41,3,FALSE())</f>
        <v>Model-Y</v>
      </c>
      <c r="I8" s="2" t="str">
        <f aca="false">VLOOKUP(B8,$N$2:$S$41,2,FALSE())</f>
        <v>Воронеж, Плехановская</v>
      </c>
      <c r="J8" s="2" t="n">
        <f aca="false">IF(F8="success",1,0)</f>
        <v>1</v>
      </c>
      <c r="K8" s="2" t="n">
        <f aca="false">VLOOKUP(H8,Lookup!$A$4:$B$6,2,FALSE())</f>
        <v>14</v>
      </c>
      <c r="N8" s="2" t="s">
        <v>47</v>
      </c>
      <c r="O8" s="2" t="s">
        <v>48</v>
      </c>
      <c r="P8" s="2" t="s">
        <v>20</v>
      </c>
      <c r="Q8" s="4" t="n">
        <v>46289.4861111111</v>
      </c>
      <c r="R8" s="2" t="s">
        <v>21</v>
      </c>
      <c r="S8" s="2" t="n">
        <v>55</v>
      </c>
    </row>
    <row r="9" customFormat="false" ht="15" hidden="false" customHeight="false" outlineLevel="0" collapsed="false">
      <c r="A9" s="2" t="s">
        <v>49</v>
      </c>
      <c r="B9" s="2" t="s">
        <v>23</v>
      </c>
      <c r="C9" s="3" t="n">
        <v>46266.479849537</v>
      </c>
      <c r="D9" s="2" t="s">
        <v>17</v>
      </c>
      <c r="E9" s="2" t="n">
        <v>2000</v>
      </c>
      <c r="F9" s="2" t="s">
        <v>18</v>
      </c>
      <c r="G9" s="2"/>
      <c r="H9" s="2" t="str">
        <f aca="false">VLOOKUP(B9,$N$2:$S$41,3,FALSE())</f>
        <v>Model-X</v>
      </c>
      <c r="I9" s="2" t="str">
        <f aca="false">VLOOKUP(B9,$N$2:$S$41,2,FALSE())</f>
        <v>Воронеж, Кольцовская</v>
      </c>
      <c r="J9" s="2" t="n">
        <f aca="false">IF(F9="success",1,0)</f>
        <v>1</v>
      </c>
      <c r="K9" s="2" t="n">
        <f aca="false">VLOOKUP(H9,Lookup!$A$4:$B$6,2,FALSE())</f>
        <v>18</v>
      </c>
      <c r="N9" s="2" t="s">
        <v>50</v>
      </c>
      <c r="O9" s="2" t="s">
        <v>51</v>
      </c>
      <c r="P9" s="2" t="s">
        <v>26</v>
      </c>
      <c r="Q9" s="4" t="n">
        <v>46295.8333217593</v>
      </c>
      <c r="R9" s="2" t="s">
        <v>21</v>
      </c>
      <c r="S9" s="2" t="n">
        <v>92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3" t="n">
        <v>46266.5428587963</v>
      </c>
      <c r="D10" s="2" t="s">
        <v>17</v>
      </c>
      <c r="E10" s="2" t="n">
        <v>1000</v>
      </c>
      <c r="F10" s="2" t="s">
        <v>18</v>
      </c>
      <c r="G10" s="2"/>
      <c r="H10" s="2" t="str">
        <f aca="false">VLOOKUP(B10,$N$2:$S$41,3,FALSE())</f>
        <v>Model-Z</v>
      </c>
      <c r="I10" s="2" t="str">
        <f aca="false">VLOOKUP(B10,$N$2:$S$41,2,FALSE())</f>
        <v>Ростов-на-Дону, Будённовский</v>
      </c>
      <c r="J10" s="2" t="n">
        <f aca="false">IF(F10="success",1,0)</f>
        <v>1</v>
      </c>
      <c r="K10" s="2" t="n">
        <f aca="false">VLOOKUP(H10,Lookup!$A$4:$B$6,2,FALSE())</f>
        <v>16</v>
      </c>
      <c r="N10" s="2" t="s">
        <v>54</v>
      </c>
      <c r="O10" s="2" t="s">
        <v>55</v>
      </c>
      <c r="P10" s="2" t="s">
        <v>32</v>
      </c>
      <c r="Q10" s="4" t="n">
        <v>46283.1319444445</v>
      </c>
      <c r="R10" s="2" t="s">
        <v>56</v>
      </c>
      <c r="S10" s="2" t="n">
        <v>31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3" t="n">
        <v>46266.5693865741</v>
      </c>
      <c r="D11" s="2" t="s">
        <v>29</v>
      </c>
      <c r="E11" s="2" t="n">
        <v>0</v>
      </c>
      <c r="F11" s="2" t="s">
        <v>18</v>
      </c>
      <c r="G11" s="2"/>
      <c r="H11" s="2" t="str">
        <f aca="false">VLOOKUP(B11,$N$2:$S$41,3,FALSE())</f>
        <v>Model-Y</v>
      </c>
      <c r="I11" s="2" t="str">
        <f aca="false">VLOOKUP(B11,$N$2:$S$41,2,FALSE())</f>
        <v>Краснодар, Красная</v>
      </c>
      <c r="J11" s="2" t="n">
        <f aca="false">IF(F11="success",1,0)</f>
        <v>1</v>
      </c>
      <c r="K11" s="2" t="n">
        <f aca="false">VLOOKUP(H11,Lookup!$A$4:$B$6,2,FALSE())</f>
        <v>14</v>
      </c>
      <c r="N11" s="2" t="s">
        <v>59</v>
      </c>
      <c r="O11" s="2" t="s">
        <v>60</v>
      </c>
      <c r="P11" s="2" t="s">
        <v>20</v>
      </c>
      <c r="Q11" s="4" t="n">
        <v>46295.5999884259</v>
      </c>
      <c r="R11" s="2" t="s">
        <v>21</v>
      </c>
      <c r="S11" s="2" t="n">
        <v>53</v>
      </c>
    </row>
    <row r="12" customFormat="false" ht="15" hidden="false" customHeight="false" outlineLevel="0" collapsed="false">
      <c r="A12" s="2" t="s">
        <v>61</v>
      </c>
      <c r="B12" s="2" t="s">
        <v>53</v>
      </c>
      <c r="C12" s="3" t="n">
        <v>46266.5935648148</v>
      </c>
      <c r="D12" s="2" t="s">
        <v>29</v>
      </c>
      <c r="E12" s="2" t="n">
        <v>0</v>
      </c>
      <c r="F12" s="2" t="s">
        <v>18</v>
      </c>
      <c r="G12" s="2"/>
      <c r="H12" s="2" t="str">
        <f aca="false">VLOOKUP(B12,$N$2:$S$41,3,FALSE())</f>
        <v>Model-Z</v>
      </c>
      <c r="I12" s="2" t="str">
        <f aca="false">VLOOKUP(B12,$N$2:$S$41,2,FALSE())</f>
        <v>Ростов-на-Дону, Будённовский</v>
      </c>
      <c r="J12" s="2" t="n">
        <f aca="false">IF(F12="success",1,0)</f>
        <v>1</v>
      </c>
      <c r="K12" s="2" t="n">
        <f aca="false">VLOOKUP(H12,Lookup!$A$4:$B$6,2,FALSE())</f>
        <v>16</v>
      </c>
      <c r="N12" s="2" t="s">
        <v>62</v>
      </c>
      <c r="O12" s="2" t="s">
        <v>63</v>
      </c>
      <c r="P12" s="2" t="s">
        <v>20</v>
      </c>
      <c r="Q12" s="4" t="n">
        <v>46295.611099537</v>
      </c>
      <c r="R12" s="2" t="s">
        <v>21</v>
      </c>
      <c r="S12" s="2" t="n">
        <v>81</v>
      </c>
    </row>
    <row r="13" customFormat="false" ht="15" hidden="false" customHeight="false" outlineLevel="0" collapsed="false">
      <c r="A13" s="2" t="s">
        <v>64</v>
      </c>
      <c r="B13" s="2" t="s">
        <v>47</v>
      </c>
      <c r="C13" s="3" t="n">
        <v>46266.6116087963</v>
      </c>
      <c r="D13" s="2" t="s">
        <v>65</v>
      </c>
      <c r="E13" s="2" t="n">
        <v>10000</v>
      </c>
      <c r="F13" s="2" t="s">
        <v>18</v>
      </c>
      <c r="G13" s="2"/>
      <c r="H13" s="2" t="str">
        <f aca="false">VLOOKUP(B13,$N$2:$S$41,3,FALSE())</f>
        <v>Model-X</v>
      </c>
      <c r="I13" s="2" t="str">
        <f aca="false">VLOOKUP(B13,$N$2:$S$41,2,FALSE())</f>
        <v>Санкт-Петербург, Невский пр-т</v>
      </c>
      <c r="J13" s="2" t="n">
        <f aca="false">IF(F13="success",1,0)</f>
        <v>1</v>
      </c>
      <c r="K13" s="2" t="n">
        <f aca="false">VLOOKUP(H13,Lookup!$A$4:$B$6,2,FALSE())</f>
        <v>18</v>
      </c>
      <c r="N13" s="2" t="s">
        <v>38</v>
      </c>
      <c r="O13" s="2" t="s">
        <v>66</v>
      </c>
      <c r="P13" s="2" t="s">
        <v>32</v>
      </c>
      <c r="Q13" s="4" t="n">
        <v>46294.6388888889</v>
      </c>
      <c r="R13" s="2" t="s">
        <v>67</v>
      </c>
      <c r="S13" s="2" t="n">
        <v>56</v>
      </c>
    </row>
    <row r="14" customFormat="false" ht="15" hidden="false" customHeight="false" outlineLevel="0" collapsed="false">
      <c r="A14" s="2" t="s">
        <v>68</v>
      </c>
      <c r="B14" s="2" t="s">
        <v>38</v>
      </c>
      <c r="C14" s="3" t="n">
        <v>46266.6146875</v>
      </c>
      <c r="D14" s="2" t="s">
        <v>46</v>
      </c>
      <c r="E14" s="2" t="n">
        <v>7000</v>
      </c>
      <c r="F14" s="2" t="s">
        <v>18</v>
      </c>
      <c r="G14" s="2"/>
      <c r="H14" s="2" t="str">
        <f aca="false">VLOOKUP(B14,$N$2:$S$41,3,FALSE())</f>
        <v>Model-Z</v>
      </c>
      <c r="I14" s="2" t="str">
        <f aca="false">VLOOKUP(B14,$N$2:$S$41,2,FALSE())</f>
        <v>Казань, Кремлёвская</v>
      </c>
      <c r="J14" s="2" t="n">
        <f aca="false">IF(F14="success",1,0)</f>
        <v>1</v>
      </c>
      <c r="K14" s="2" t="n">
        <f aca="false">VLOOKUP(H14,Lookup!$A$4:$B$6,2,FALSE())</f>
        <v>16</v>
      </c>
      <c r="N14" s="2" t="s">
        <v>69</v>
      </c>
      <c r="O14" s="2" t="s">
        <v>70</v>
      </c>
      <c r="P14" s="2" t="s">
        <v>20</v>
      </c>
      <c r="Q14" s="4" t="n">
        <v>46295.679849537</v>
      </c>
      <c r="R14" s="2" t="s">
        <v>21</v>
      </c>
      <c r="S14" s="2" t="n">
        <v>63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3" t="n">
        <v>46266.7747800926</v>
      </c>
      <c r="D15" s="2" t="s">
        <v>17</v>
      </c>
      <c r="E15" s="2" t="n">
        <v>1500</v>
      </c>
      <c r="F15" s="2" t="s">
        <v>18</v>
      </c>
      <c r="G15" s="2"/>
      <c r="H15" s="2" t="str">
        <f aca="false">VLOOKUP(B15,$N$2:$S$41,3,FALSE())</f>
        <v>Model-Y</v>
      </c>
      <c r="I15" s="2" t="str">
        <f aca="false">VLOOKUP(B15,$N$2:$S$41,2,FALSE())</f>
        <v>Ростов-на-Дону, Садовая</v>
      </c>
      <c r="J15" s="2" t="n">
        <f aca="false">IF(F15="success",1,0)</f>
        <v>1</v>
      </c>
      <c r="K15" s="2" t="n">
        <f aca="false">VLOOKUP(H15,Lookup!$A$4:$B$6,2,FALSE())</f>
        <v>14</v>
      </c>
      <c r="N15" s="2" t="s">
        <v>73</v>
      </c>
      <c r="O15" s="2" t="s">
        <v>74</v>
      </c>
      <c r="P15" s="2" t="s">
        <v>26</v>
      </c>
      <c r="Q15" s="4" t="n">
        <v>46290.6701388889</v>
      </c>
      <c r="R15" s="2" t="s">
        <v>21</v>
      </c>
      <c r="S15" s="2" t="n">
        <v>28</v>
      </c>
    </row>
    <row r="16" customFormat="false" ht="15" hidden="false" customHeight="false" outlineLevel="0" collapsed="false">
      <c r="A16" s="2" t="s">
        <v>75</v>
      </c>
      <c r="B16" s="2" t="s">
        <v>35</v>
      </c>
      <c r="C16" s="3" t="n">
        <v>46266.8125</v>
      </c>
      <c r="D16" s="2" t="s">
        <v>17</v>
      </c>
      <c r="E16" s="2" t="n">
        <v>10000</v>
      </c>
      <c r="F16" s="2" t="s">
        <v>76</v>
      </c>
      <c r="G16" s="2" t="s">
        <v>77</v>
      </c>
      <c r="H16" s="2" t="str">
        <f aca="false">VLOOKUP(B16,$N$2:$S$41,3,FALSE())</f>
        <v>Model-X</v>
      </c>
      <c r="I16" s="2" t="str">
        <f aca="false">VLOOKUP(B16,$N$2:$S$41,2,FALSE())</f>
        <v>Москва, Ленинградский пр-т</v>
      </c>
      <c r="J16" s="2" t="n">
        <f aca="false">IF(F16="success",1,0)</f>
        <v>0</v>
      </c>
      <c r="K16" s="2" t="n">
        <f aca="false">VLOOKUP(H16,Lookup!$A$4:$B$6,2,FALSE())</f>
        <v>18</v>
      </c>
      <c r="N16" s="2" t="s">
        <v>78</v>
      </c>
      <c r="O16" s="2" t="s">
        <v>79</v>
      </c>
      <c r="P16" s="2" t="s">
        <v>32</v>
      </c>
      <c r="Q16" s="4" t="n">
        <v>46295.8854050926</v>
      </c>
      <c r="R16" s="2" t="s">
        <v>21</v>
      </c>
      <c r="S16" s="2" t="n">
        <v>82</v>
      </c>
    </row>
    <row r="17" customFormat="false" ht="15" hidden="false" customHeight="false" outlineLevel="0" collapsed="false">
      <c r="A17" s="2" t="s">
        <v>80</v>
      </c>
      <c r="B17" s="2" t="s">
        <v>42</v>
      </c>
      <c r="C17" s="3" t="n">
        <v>46266.8156828704</v>
      </c>
      <c r="D17" s="2" t="s">
        <v>65</v>
      </c>
      <c r="E17" s="2" t="n">
        <v>2000</v>
      </c>
      <c r="F17" s="2" t="s">
        <v>18</v>
      </c>
      <c r="G17" s="2"/>
      <c r="H17" s="2" t="str">
        <f aca="false">VLOOKUP(B17,$N$2:$S$41,3,FALSE())</f>
        <v>Model-X</v>
      </c>
      <c r="I17" s="2" t="str">
        <f aca="false">VLOOKUP(B17,$N$2:$S$41,2,FALSE())</f>
        <v>Краснодар, Гимназическая</v>
      </c>
      <c r="J17" s="2" t="n">
        <f aca="false">IF(F17="success",1,0)</f>
        <v>1</v>
      </c>
      <c r="K17" s="2" t="n">
        <f aca="false">VLOOKUP(H17,Lookup!$A$4:$B$6,2,FALSE())</f>
        <v>18</v>
      </c>
      <c r="N17" s="2" t="s">
        <v>81</v>
      </c>
      <c r="O17" s="2" t="s">
        <v>82</v>
      </c>
      <c r="P17" s="2" t="s">
        <v>20</v>
      </c>
      <c r="Q17" s="4" t="n">
        <v>46295.7569328704</v>
      </c>
      <c r="R17" s="2" t="s">
        <v>21</v>
      </c>
      <c r="S17" s="2" t="n">
        <v>63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3" t="n">
        <v>46266.8257523148</v>
      </c>
      <c r="D18" s="2" t="s">
        <v>46</v>
      </c>
      <c r="E18" s="2" t="n">
        <v>1500</v>
      </c>
      <c r="F18" s="2" t="s">
        <v>18</v>
      </c>
      <c r="G18" s="2"/>
      <c r="H18" s="2" t="str">
        <f aca="false">VLOOKUP(B18,$N$2:$S$41,3,FALSE())</f>
        <v>Model-X</v>
      </c>
      <c r="I18" s="2" t="str">
        <f aca="false">VLOOKUP(B18,$N$2:$S$41,2,FALSE())</f>
        <v>Новосибирск, Красный пр-т</v>
      </c>
      <c r="J18" s="2" t="n">
        <f aca="false">IF(F18="success",1,0)</f>
        <v>1</v>
      </c>
      <c r="K18" s="2" t="n">
        <f aca="false">VLOOKUP(H18,Lookup!$A$4:$B$6,2,FALSE())</f>
        <v>18</v>
      </c>
      <c r="N18" s="2" t="s">
        <v>85</v>
      </c>
      <c r="O18" s="2" t="s">
        <v>86</v>
      </c>
      <c r="P18" s="2" t="s">
        <v>26</v>
      </c>
      <c r="Q18" s="4" t="n">
        <v>46286.9375</v>
      </c>
      <c r="R18" s="2" t="s">
        <v>56</v>
      </c>
      <c r="S18" s="2" t="n">
        <v>47</v>
      </c>
    </row>
    <row r="19" customFormat="false" ht="15" hidden="false" customHeight="false" outlineLevel="0" collapsed="false">
      <c r="A19" s="2" t="s">
        <v>87</v>
      </c>
      <c r="B19" s="2" t="s">
        <v>59</v>
      </c>
      <c r="C19" s="3" t="n">
        <v>46266.8410648148</v>
      </c>
      <c r="D19" s="2" t="s">
        <v>17</v>
      </c>
      <c r="E19" s="2" t="n">
        <v>1000</v>
      </c>
      <c r="F19" s="2" t="s">
        <v>18</v>
      </c>
      <c r="G19" s="2"/>
      <c r="H19" s="2" t="str">
        <f aca="false">VLOOKUP(B19,$N$2:$S$41,3,FALSE())</f>
        <v>Model-X</v>
      </c>
      <c r="I19" s="2" t="str">
        <f aca="false">VLOOKUP(B19,$N$2:$S$41,2,FALSE())</f>
        <v>Санкт-Петербург, Большой пр-т</v>
      </c>
      <c r="J19" s="2" t="n">
        <f aca="false">IF(F19="success",1,0)</f>
        <v>1</v>
      </c>
      <c r="K19" s="2" t="n">
        <f aca="false">VLOOKUP(H19,Lookup!$A$4:$B$6,2,FALSE())</f>
        <v>18</v>
      </c>
      <c r="N19" s="2" t="s">
        <v>88</v>
      </c>
      <c r="O19" s="2" t="s">
        <v>89</v>
      </c>
      <c r="P19" s="2" t="s">
        <v>32</v>
      </c>
      <c r="Q19" s="4" t="n">
        <v>46295.8458217593</v>
      </c>
      <c r="R19" s="2" t="s">
        <v>21</v>
      </c>
      <c r="S19" s="2" t="n">
        <v>71</v>
      </c>
    </row>
    <row r="20" customFormat="false" ht="15" hidden="false" customHeight="false" outlineLevel="0" collapsed="false">
      <c r="A20" s="2" t="s">
        <v>90</v>
      </c>
      <c r="B20" s="2" t="s">
        <v>85</v>
      </c>
      <c r="C20" s="3" t="n">
        <v>46267.3527777778</v>
      </c>
      <c r="D20" s="2" t="s">
        <v>29</v>
      </c>
      <c r="E20" s="2" t="n">
        <v>0</v>
      </c>
      <c r="F20" s="2" t="s">
        <v>18</v>
      </c>
      <c r="G20" s="2"/>
      <c r="H20" s="2" t="str">
        <f aca="false">VLOOKUP(B20,$N$2:$S$41,3,FALSE())</f>
        <v>Model-Y</v>
      </c>
      <c r="I20" s="2" t="str">
        <f aca="false">VLOOKUP(B20,$N$2:$S$41,2,FALSE())</f>
        <v>Екатеринбург, 8 Марта</v>
      </c>
      <c r="J20" s="2" t="n">
        <f aca="false">IF(F20="success",1,0)</f>
        <v>1</v>
      </c>
      <c r="K20" s="2" t="n">
        <f aca="false">VLOOKUP(H20,Lookup!$A$4:$B$6,2,FALSE())</f>
        <v>14</v>
      </c>
      <c r="N20" s="2" t="s">
        <v>84</v>
      </c>
      <c r="O20" s="2" t="s">
        <v>91</v>
      </c>
      <c r="P20" s="2" t="s">
        <v>20</v>
      </c>
      <c r="Q20" s="4" t="n">
        <v>46295.9263773148</v>
      </c>
      <c r="R20" s="2" t="s">
        <v>21</v>
      </c>
      <c r="S20" s="2" t="n">
        <v>17</v>
      </c>
    </row>
    <row r="21" customFormat="false" ht="15" hidden="false" customHeight="false" outlineLevel="0" collapsed="false">
      <c r="A21" s="2" t="s">
        <v>92</v>
      </c>
      <c r="B21" s="2" t="s">
        <v>85</v>
      </c>
      <c r="C21" s="3" t="n">
        <v>46267.6070949074</v>
      </c>
      <c r="D21" s="2" t="s">
        <v>17</v>
      </c>
      <c r="E21" s="2" t="n">
        <v>2000</v>
      </c>
      <c r="F21" s="2" t="s">
        <v>18</v>
      </c>
      <c r="G21" s="2"/>
      <c r="H21" s="2" t="str">
        <f aca="false">VLOOKUP(B21,$N$2:$S$41,3,FALSE())</f>
        <v>Model-Y</v>
      </c>
      <c r="I21" s="2" t="str">
        <f aca="false">VLOOKUP(B21,$N$2:$S$41,2,FALSE())</f>
        <v>Екатеринбург, 8 Марта</v>
      </c>
      <c r="J21" s="2" t="n">
        <f aca="false">IF(F21="success",1,0)</f>
        <v>1</v>
      </c>
      <c r="K21" s="2" t="n">
        <f aca="false">VLOOKUP(H21,Lookup!$A$4:$B$6,2,FALSE())</f>
        <v>14</v>
      </c>
      <c r="N21" s="2" t="s">
        <v>93</v>
      </c>
      <c r="O21" s="2" t="s">
        <v>94</v>
      </c>
      <c r="P21" s="2" t="s">
        <v>26</v>
      </c>
      <c r="Q21" s="4" t="n">
        <v>46295.7284606482</v>
      </c>
      <c r="R21" s="2" t="s">
        <v>21</v>
      </c>
      <c r="S21" s="2" t="n">
        <v>40</v>
      </c>
    </row>
    <row r="22" customFormat="false" ht="15" hidden="false" customHeight="false" outlineLevel="0" collapsed="false">
      <c r="A22" s="2" t="s">
        <v>95</v>
      </c>
      <c r="B22" s="2" t="s">
        <v>96</v>
      </c>
      <c r="C22" s="3" t="n">
        <v>46267.6120138889</v>
      </c>
      <c r="D22" s="2" t="s">
        <v>17</v>
      </c>
      <c r="E22" s="2" t="n">
        <v>1500</v>
      </c>
      <c r="F22" s="2" t="s">
        <v>18</v>
      </c>
      <c r="G22" s="2"/>
      <c r="H22" s="2" t="str">
        <f aca="false">VLOOKUP(B22,$N$2:$S$41,3,FALSE())</f>
        <v>Model-X</v>
      </c>
      <c r="I22" s="2" t="str">
        <f aca="false">VLOOKUP(B22,$N$2:$S$41,2,FALSE())</f>
        <v>Нижний Новгород, Белинского</v>
      </c>
      <c r="J22" s="2" t="n">
        <f aca="false">IF(F22="success",1,0)</f>
        <v>1</v>
      </c>
      <c r="K22" s="2" t="n">
        <f aca="false">VLOOKUP(H22,Lookup!$A$4:$B$6,2,FALSE())</f>
        <v>18</v>
      </c>
      <c r="N22" s="2" t="s">
        <v>97</v>
      </c>
      <c r="O22" s="2" t="s">
        <v>98</v>
      </c>
      <c r="P22" s="2" t="s">
        <v>20</v>
      </c>
      <c r="Q22" s="4" t="n">
        <v>46295.7437384259</v>
      </c>
      <c r="R22" s="2" t="s">
        <v>21</v>
      </c>
      <c r="S22" s="2"/>
    </row>
    <row r="23" customFormat="false" ht="15" hidden="false" customHeight="false" outlineLevel="0" collapsed="false">
      <c r="A23" s="2" t="s">
        <v>99</v>
      </c>
      <c r="B23" s="2" t="s">
        <v>47</v>
      </c>
      <c r="C23" s="3" t="n">
        <v>46267.6400347222</v>
      </c>
      <c r="D23" s="2" t="s">
        <v>17</v>
      </c>
      <c r="E23" s="2" t="n">
        <v>5000</v>
      </c>
      <c r="F23" s="2" t="s">
        <v>100</v>
      </c>
      <c r="G23" s="2"/>
      <c r="H23" s="2" t="str">
        <f aca="false">VLOOKUP(B23,$N$2:$S$41,3,FALSE())</f>
        <v>Model-X</v>
      </c>
      <c r="I23" s="2" t="str">
        <f aca="false">VLOOKUP(B23,$N$2:$S$41,2,FALSE())</f>
        <v>Санкт-Петербург, Невский пр-т</v>
      </c>
      <c r="J23" s="2" t="n">
        <f aca="false">IF(F23="success",1,0)</f>
        <v>0</v>
      </c>
      <c r="K23" s="2" t="n">
        <f aca="false">VLOOKUP(H23,Lookup!$A$4:$B$6,2,FALSE())</f>
        <v>18</v>
      </c>
      <c r="N23" s="2" t="s">
        <v>28</v>
      </c>
      <c r="O23" s="2" t="s">
        <v>101</v>
      </c>
      <c r="P23" s="2" t="s">
        <v>20</v>
      </c>
      <c r="Q23" s="4" t="n">
        <v>46291.3854166667</v>
      </c>
      <c r="R23" s="2" t="s">
        <v>21</v>
      </c>
      <c r="S23" s="2" t="n">
        <v>61</v>
      </c>
    </row>
    <row r="24" customFormat="false" ht="15" hidden="false" customHeight="false" outlineLevel="0" collapsed="false">
      <c r="A24" s="2" t="s">
        <v>102</v>
      </c>
      <c r="B24" s="2" t="s">
        <v>81</v>
      </c>
      <c r="C24" s="3" t="n">
        <v>46267.7638888889</v>
      </c>
      <c r="D24" s="2" t="s">
        <v>46</v>
      </c>
      <c r="E24" s="2" t="n">
        <v>2000</v>
      </c>
      <c r="F24" s="2" t="s">
        <v>18</v>
      </c>
      <c r="G24" s="2"/>
      <c r="H24" s="2" t="str">
        <f aca="false">VLOOKUP(B24,$N$2:$S$41,3,FALSE())</f>
        <v>Model-X</v>
      </c>
      <c r="I24" s="2" t="str">
        <f aca="false">VLOOKUP(B24,$N$2:$S$41,2,FALSE())</f>
        <v>Екатеринбург, Малышева</v>
      </c>
      <c r="J24" s="2" t="n">
        <f aca="false">IF(F24="success",1,0)</f>
        <v>1</v>
      </c>
      <c r="K24" s="2" t="n">
        <f aca="false">VLOOKUP(H24,Lookup!$A$4:$B$6,2,FALSE())</f>
        <v>18</v>
      </c>
      <c r="N24" s="2" t="s">
        <v>103</v>
      </c>
      <c r="O24" s="2" t="s">
        <v>104</v>
      </c>
      <c r="P24" s="2" t="s">
        <v>26</v>
      </c>
      <c r="Q24" s="4" t="n">
        <v>46295.9680439815</v>
      </c>
      <c r="R24" s="2" t="s">
        <v>21</v>
      </c>
      <c r="S24" s="2" t="n">
        <v>86</v>
      </c>
    </row>
    <row r="25" customFormat="false" ht="15" hidden="false" customHeight="false" outlineLevel="0" collapsed="false">
      <c r="A25" s="2" t="s">
        <v>105</v>
      </c>
      <c r="B25" s="2" t="s">
        <v>50</v>
      </c>
      <c r="C25" s="3" t="n">
        <v>46267.7853009259</v>
      </c>
      <c r="D25" s="2" t="s">
        <v>29</v>
      </c>
      <c r="E25" s="2" t="n">
        <v>0</v>
      </c>
      <c r="F25" s="2" t="s">
        <v>18</v>
      </c>
      <c r="G25" s="2"/>
      <c r="H25" s="2" t="str">
        <f aca="false">VLOOKUP(B25,$N$2:$S$41,3,FALSE())</f>
        <v>Model-Y</v>
      </c>
      <c r="I25" s="2" t="str">
        <f aca="false">VLOOKUP(B25,$N$2:$S$41,2,FALSE())</f>
        <v>Санкт-Петербург, Московский пр-т</v>
      </c>
      <c r="J25" s="2" t="n">
        <f aca="false">IF(F25="success",1,0)</f>
        <v>1</v>
      </c>
      <c r="K25" s="2" t="n">
        <f aca="false">VLOOKUP(H25,Lookup!$A$4:$B$6,2,FALSE())</f>
        <v>14</v>
      </c>
      <c r="N25" s="2" t="s">
        <v>106</v>
      </c>
      <c r="O25" s="2" t="s">
        <v>107</v>
      </c>
      <c r="P25" s="2" t="s">
        <v>32</v>
      </c>
      <c r="Q25" s="4" t="n">
        <v>46295.617349537</v>
      </c>
      <c r="R25" s="2" t="s">
        <v>21</v>
      </c>
      <c r="S25" s="2" t="n">
        <v>43</v>
      </c>
    </row>
    <row r="26" customFormat="false" ht="15" hidden="false" customHeight="false" outlineLevel="0" collapsed="false">
      <c r="A26" s="2" t="s">
        <v>108</v>
      </c>
      <c r="B26" s="2" t="s">
        <v>97</v>
      </c>
      <c r="C26" s="3" t="n">
        <v>46267.7887962963</v>
      </c>
      <c r="D26" s="2" t="s">
        <v>46</v>
      </c>
      <c r="E26" s="2" t="n">
        <v>5000</v>
      </c>
      <c r="F26" s="2" t="s">
        <v>100</v>
      </c>
      <c r="G26" s="2"/>
      <c r="H26" s="2" t="str">
        <f aca="false">VLOOKUP(B26,$N$2:$S$41,3,FALSE())</f>
        <v>Model-X</v>
      </c>
      <c r="I26" s="2" t="str">
        <f aca="false">VLOOKUP(B26,$N$2:$S$41,2,FALSE())</f>
        <v>Новосибирск, Гоголя</v>
      </c>
      <c r="J26" s="2" t="n">
        <f aca="false">IF(F26="success",1,0)</f>
        <v>0</v>
      </c>
      <c r="K26" s="2" t="n">
        <f aca="false">VLOOKUP(H26,Lookup!$A$4:$B$6,2,FALSE())</f>
        <v>18</v>
      </c>
      <c r="N26" s="2" t="s">
        <v>96</v>
      </c>
      <c r="O26" s="2" t="s">
        <v>109</v>
      </c>
      <c r="P26" s="2" t="s">
        <v>20</v>
      </c>
      <c r="Q26" s="4" t="n">
        <v>46295.729849537</v>
      </c>
      <c r="R26" s="2" t="s">
        <v>21</v>
      </c>
      <c r="S26" s="2" t="n">
        <v>38</v>
      </c>
    </row>
    <row r="27" customFormat="false" ht="15" hidden="false" customHeight="false" outlineLevel="0" collapsed="false">
      <c r="A27" s="2" t="s">
        <v>110</v>
      </c>
      <c r="B27" s="2" t="s">
        <v>35</v>
      </c>
      <c r="C27" s="3" t="n">
        <v>46267.839525463</v>
      </c>
      <c r="D27" s="2" t="s">
        <v>17</v>
      </c>
      <c r="E27" s="2" t="n">
        <v>1000</v>
      </c>
      <c r="F27" s="2" t="s">
        <v>18</v>
      </c>
      <c r="G27" s="2"/>
      <c r="H27" s="2" t="str">
        <f aca="false">VLOOKUP(B27,$N$2:$S$41,3,FALSE())</f>
        <v>Model-X</v>
      </c>
      <c r="I27" s="2" t="str">
        <f aca="false">VLOOKUP(B27,$N$2:$S$41,2,FALSE())</f>
        <v>Москва, Ленинградский пр-т</v>
      </c>
      <c r="J27" s="2" t="n">
        <f aca="false">IF(F27="success",1,0)</f>
        <v>1</v>
      </c>
      <c r="K27" s="2" t="n">
        <f aca="false">VLOOKUP(H27,Lookup!$A$4:$B$6,2,FALSE())</f>
        <v>18</v>
      </c>
      <c r="N27" s="2" t="s">
        <v>111</v>
      </c>
      <c r="O27" s="2" t="s">
        <v>112</v>
      </c>
      <c r="P27" s="2" t="s">
        <v>20</v>
      </c>
      <c r="Q27" s="4" t="n">
        <v>46277.5833333333</v>
      </c>
      <c r="R27" s="2" t="s">
        <v>56</v>
      </c>
      <c r="S27" s="2" t="n">
        <v>65</v>
      </c>
    </row>
    <row r="28" customFormat="false" ht="15" hidden="false" customHeight="false" outlineLevel="0" collapsed="false">
      <c r="A28" s="2" t="s">
        <v>113</v>
      </c>
      <c r="B28" s="2" t="s">
        <v>103</v>
      </c>
      <c r="C28" s="3" t="n">
        <v>46267.8455208333</v>
      </c>
      <c r="D28" s="2" t="s">
        <v>65</v>
      </c>
      <c r="E28" s="2" t="n">
        <v>2000</v>
      </c>
      <c r="F28" s="2" t="s">
        <v>18</v>
      </c>
      <c r="G28" s="2"/>
      <c r="H28" s="2" t="str">
        <f aca="false">VLOOKUP(B28,$N$2:$S$41,3,FALSE())</f>
        <v>Model-Y</v>
      </c>
      <c r="I28" s="2" t="str">
        <f aca="false">VLOOKUP(B28,$N$2:$S$41,2,FALSE())</f>
        <v>Нижний Новгород, Большая Покровская</v>
      </c>
      <c r="J28" s="2" t="n">
        <f aca="false">IF(F28="success",1,0)</f>
        <v>1</v>
      </c>
      <c r="K28" s="2" t="n">
        <f aca="false">VLOOKUP(H28,Lookup!$A$4:$B$6,2,FALSE())</f>
        <v>14</v>
      </c>
      <c r="N28" s="2" t="s">
        <v>114</v>
      </c>
      <c r="O28" s="2" t="s">
        <v>115</v>
      </c>
      <c r="P28" s="2" t="s">
        <v>32</v>
      </c>
      <c r="Q28" s="4" t="n">
        <v>46295.7416550926</v>
      </c>
      <c r="R28" s="2" t="s">
        <v>21</v>
      </c>
      <c r="S28" s="2" t="n">
        <v>52</v>
      </c>
    </row>
    <row r="29" customFormat="false" ht="15" hidden="false" customHeight="false" outlineLevel="0" collapsed="false">
      <c r="A29" s="2" t="s">
        <v>116</v>
      </c>
      <c r="B29" s="2" t="s">
        <v>24</v>
      </c>
      <c r="C29" s="3" t="n">
        <v>46267.8629282407</v>
      </c>
      <c r="D29" s="2" t="s">
        <v>17</v>
      </c>
      <c r="E29" s="2" t="n">
        <v>1500</v>
      </c>
      <c r="F29" s="2" t="s">
        <v>76</v>
      </c>
      <c r="G29" s="2" t="s">
        <v>117</v>
      </c>
      <c r="H29" s="2" t="str">
        <f aca="false">VLOOKUP(B29,$N$2:$S$41,3,FALSE())</f>
        <v>Model-Y</v>
      </c>
      <c r="I29" s="2" t="str">
        <f aca="false">VLOOKUP(B29,$N$2:$S$41,2,FALSE())</f>
        <v>Москва, Арбат</v>
      </c>
      <c r="J29" s="2" t="n">
        <f aca="false">IF(F29="success",1,0)</f>
        <v>0</v>
      </c>
      <c r="K29" s="2" t="n">
        <f aca="false">VLOOKUP(H29,Lookup!$A$4:$B$6,2,FALSE())</f>
        <v>14</v>
      </c>
      <c r="N29" s="2" t="s">
        <v>118</v>
      </c>
      <c r="O29" s="2" t="s">
        <v>119</v>
      </c>
      <c r="P29" s="2" t="s">
        <v>20</v>
      </c>
      <c r="Q29" s="4" t="n">
        <v>46295.9492939815</v>
      </c>
      <c r="R29" s="2" t="s">
        <v>21</v>
      </c>
      <c r="S29" s="2" t="n">
        <v>33</v>
      </c>
    </row>
    <row r="30" customFormat="false" ht="15" hidden="false" customHeight="false" outlineLevel="0" collapsed="false">
      <c r="A30" s="2" t="s">
        <v>120</v>
      </c>
      <c r="B30" s="2" t="s">
        <v>84</v>
      </c>
      <c r="C30" s="3" t="n">
        <v>46267.8966898148</v>
      </c>
      <c r="D30" s="2" t="s">
        <v>29</v>
      </c>
      <c r="E30" s="2" t="n">
        <v>0</v>
      </c>
      <c r="F30" s="2" t="s">
        <v>18</v>
      </c>
      <c r="G30" s="2"/>
      <c r="H30" s="2" t="str">
        <f aca="false">VLOOKUP(B30,$N$2:$S$41,3,FALSE())</f>
        <v>Model-X</v>
      </c>
      <c r="I30" s="2" t="str">
        <f aca="false">VLOOKUP(B30,$N$2:$S$41,2,FALSE())</f>
        <v>Новосибирск, Красный пр-т</v>
      </c>
      <c r="J30" s="2" t="n">
        <f aca="false">IF(F30="success",1,0)</f>
        <v>1</v>
      </c>
      <c r="K30" s="2" t="n">
        <f aca="false">VLOOKUP(H30,Lookup!$A$4:$B$6,2,FALSE())</f>
        <v>18</v>
      </c>
      <c r="N30" s="2" t="s">
        <v>72</v>
      </c>
      <c r="O30" s="2" t="s">
        <v>121</v>
      </c>
      <c r="P30" s="2" t="s">
        <v>26</v>
      </c>
      <c r="Q30" s="4" t="n">
        <v>46295.3333333333</v>
      </c>
      <c r="R30" s="2" t="s">
        <v>67</v>
      </c>
      <c r="S30" s="2" t="n">
        <v>57</v>
      </c>
    </row>
    <row r="31" customFormat="false" ht="15" hidden="false" customHeight="false" outlineLevel="0" collapsed="false">
      <c r="A31" s="2" t="s">
        <v>122</v>
      </c>
      <c r="B31" s="2" t="s">
        <v>50</v>
      </c>
      <c r="C31" s="3" t="n">
        <v>46267.9215972222</v>
      </c>
      <c r="D31" s="2" t="s">
        <v>17</v>
      </c>
      <c r="E31" s="2" t="n">
        <v>15000</v>
      </c>
      <c r="F31" s="2" t="s">
        <v>18</v>
      </c>
      <c r="G31" s="2"/>
      <c r="H31" s="2" t="str">
        <f aca="false">VLOOKUP(B31,$N$2:$S$41,3,FALSE())</f>
        <v>Model-Y</v>
      </c>
      <c r="I31" s="2" t="str">
        <f aca="false">VLOOKUP(B31,$N$2:$S$41,2,FALSE())</f>
        <v>Санкт-Петербург, Московский пр-т</v>
      </c>
      <c r="J31" s="2" t="n">
        <f aca="false">IF(F31="success",1,0)</f>
        <v>1</v>
      </c>
      <c r="K31" s="2" t="n">
        <f aca="false">VLOOKUP(H31,Lookup!$A$4:$B$6,2,FALSE())</f>
        <v>14</v>
      </c>
      <c r="N31" s="2" t="s">
        <v>53</v>
      </c>
      <c r="O31" s="2" t="s">
        <v>123</v>
      </c>
      <c r="P31" s="2" t="s">
        <v>32</v>
      </c>
      <c r="Q31" s="4" t="n">
        <v>46295.7930439815</v>
      </c>
      <c r="R31" s="2" t="s">
        <v>21</v>
      </c>
      <c r="S31" s="2" t="n">
        <v>38</v>
      </c>
    </row>
    <row r="32" customFormat="false" ht="15" hidden="false" customHeight="false" outlineLevel="0" collapsed="false">
      <c r="A32" s="2" t="s">
        <v>124</v>
      </c>
      <c r="B32" s="2" t="s">
        <v>45</v>
      </c>
      <c r="C32" s="3" t="n">
        <v>46267.9368055556</v>
      </c>
      <c r="D32" s="2" t="s">
        <v>17</v>
      </c>
      <c r="E32" s="2" t="n">
        <v>1500</v>
      </c>
      <c r="F32" s="2" t="s">
        <v>18</v>
      </c>
      <c r="G32" s="2"/>
      <c r="H32" s="2" t="str">
        <f aca="false">VLOOKUP(B32,$N$2:$S$41,3,FALSE())</f>
        <v>Model-Y</v>
      </c>
      <c r="I32" s="2" t="str">
        <f aca="false">VLOOKUP(B32,$N$2:$S$41,2,FALSE())</f>
        <v>Воронеж, Плехановская</v>
      </c>
      <c r="J32" s="2" t="n">
        <f aca="false">IF(F32="success",1,0)</f>
        <v>1</v>
      </c>
      <c r="K32" s="2" t="n">
        <f aca="false">VLOOKUP(H32,Lookup!$A$4:$B$6,2,FALSE())</f>
        <v>14</v>
      </c>
      <c r="N32" s="2" t="s">
        <v>125</v>
      </c>
      <c r="O32" s="2" t="s">
        <v>126</v>
      </c>
      <c r="P32" s="2" t="s">
        <v>20</v>
      </c>
      <c r="Q32" s="4" t="n">
        <v>46295.8333217593</v>
      </c>
      <c r="R32" s="2" t="s">
        <v>21</v>
      </c>
      <c r="S32" s="2" t="n">
        <v>18</v>
      </c>
    </row>
    <row r="33" customFormat="false" ht="15" hidden="false" customHeight="false" outlineLevel="0" collapsed="false">
      <c r="A33" s="2" t="s">
        <v>127</v>
      </c>
      <c r="B33" s="2" t="s">
        <v>69</v>
      </c>
      <c r="C33" s="3" t="n">
        <v>46267.9398611111</v>
      </c>
      <c r="D33" s="2" t="s">
        <v>46</v>
      </c>
      <c r="E33" s="2" t="n">
        <v>3000</v>
      </c>
      <c r="F33" s="2" t="s">
        <v>18</v>
      </c>
      <c r="G33" s="2"/>
      <c r="H33" s="2" t="str">
        <f aca="false">VLOOKUP(B33,$N$2:$S$41,3,FALSE())</f>
        <v>Model-X</v>
      </c>
      <c r="I33" s="2" t="str">
        <f aca="false">VLOOKUP(B33,$N$2:$S$41,2,FALSE())</f>
        <v>Казань, Пушкина</v>
      </c>
      <c r="J33" s="2" t="n">
        <f aca="false">IF(F33="success",1,0)</f>
        <v>1</v>
      </c>
      <c r="K33" s="2" t="n">
        <f aca="false">VLOOKUP(H33,Lookup!$A$4:$B$6,2,FALSE())</f>
        <v>18</v>
      </c>
      <c r="N33" s="2" t="s">
        <v>58</v>
      </c>
      <c r="O33" s="2" t="s">
        <v>128</v>
      </c>
      <c r="P33" s="2" t="s">
        <v>26</v>
      </c>
      <c r="Q33" s="4" t="n">
        <v>46295.7284606482</v>
      </c>
      <c r="R33" s="2" t="s">
        <v>21</v>
      </c>
      <c r="S33" s="2" t="n">
        <v>63</v>
      </c>
    </row>
    <row r="34" customFormat="false" ht="15" hidden="false" customHeight="false" outlineLevel="0" collapsed="false">
      <c r="A34" s="2" t="s">
        <v>129</v>
      </c>
      <c r="B34" s="2" t="s">
        <v>58</v>
      </c>
      <c r="C34" s="3" t="n">
        <v>46268.2806365741</v>
      </c>
      <c r="D34" s="2" t="s">
        <v>65</v>
      </c>
      <c r="E34" s="2" t="n">
        <v>15000</v>
      </c>
      <c r="F34" s="2" t="s">
        <v>18</v>
      </c>
      <c r="G34" s="2"/>
      <c r="H34" s="2" t="str">
        <f aca="false">VLOOKUP(B34,$N$2:$S$41,3,FALSE())</f>
        <v>Model-Y</v>
      </c>
      <c r="I34" s="2" t="str">
        <f aca="false">VLOOKUP(B34,$N$2:$S$41,2,FALSE())</f>
        <v>Краснодар, Красная</v>
      </c>
      <c r="J34" s="2" t="n">
        <f aca="false">IF(F34="success",1,0)</f>
        <v>1</v>
      </c>
      <c r="K34" s="2" t="n">
        <f aca="false">VLOOKUP(H34,Lookup!$A$4:$B$6,2,FALSE())</f>
        <v>14</v>
      </c>
      <c r="N34" s="2" t="s">
        <v>130</v>
      </c>
      <c r="O34" s="2" t="s">
        <v>131</v>
      </c>
      <c r="P34" s="2" t="s">
        <v>32</v>
      </c>
      <c r="Q34" s="4" t="n">
        <v>46292.28125</v>
      </c>
      <c r="R34" s="2" t="s">
        <v>56</v>
      </c>
      <c r="S34" s="2" t="n">
        <v>86</v>
      </c>
    </row>
    <row r="35" customFormat="false" ht="15" hidden="false" customHeight="false" outlineLevel="0" collapsed="false">
      <c r="A35" s="2" t="s">
        <v>132</v>
      </c>
      <c r="B35" s="2" t="s">
        <v>16</v>
      </c>
      <c r="C35" s="3" t="n">
        <v>46268.3689814815</v>
      </c>
      <c r="D35" s="2" t="s">
        <v>17</v>
      </c>
      <c r="E35" s="2" t="n">
        <v>2000</v>
      </c>
      <c r="F35" s="2" t="s">
        <v>18</v>
      </c>
      <c r="G35" s="2"/>
      <c r="H35" s="2" t="str">
        <f aca="false">VLOOKUP(B35,$N$2:$S$41,3,FALSE())</f>
        <v>Model-X</v>
      </c>
      <c r="I35" s="2" t="str">
        <f aca="false">VLOOKUP(B35,$N$2:$S$41,2,FALSE())</f>
        <v>Москва, Тверская</v>
      </c>
      <c r="J35" s="2" t="n">
        <f aca="false">IF(F35="success",1,0)</f>
        <v>1</v>
      </c>
      <c r="K35" s="2" t="n">
        <f aca="false">VLOOKUP(H35,Lookup!$A$4:$B$6,2,FALSE())</f>
        <v>18</v>
      </c>
      <c r="N35" s="2" t="s">
        <v>42</v>
      </c>
      <c r="O35" s="2" t="s">
        <v>133</v>
      </c>
      <c r="P35" s="2" t="s">
        <v>20</v>
      </c>
      <c r="Q35" s="4" t="n">
        <v>46295.7395717593</v>
      </c>
      <c r="R35" s="2" t="s">
        <v>21</v>
      </c>
      <c r="S35" s="2" t="n">
        <v>48</v>
      </c>
    </row>
    <row r="36" customFormat="false" ht="15" hidden="false" customHeight="false" outlineLevel="0" collapsed="false">
      <c r="A36" s="2" t="s">
        <v>134</v>
      </c>
      <c r="B36" s="2" t="s">
        <v>72</v>
      </c>
      <c r="C36" s="3" t="n">
        <v>46268.4543981482</v>
      </c>
      <c r="D36" s="2" t="s">
        <v>17</v>
      </c>
      <c r="E36" s="2" t="n">
        <v>5000</v>
      </c>
      <c r="F36" s="2" t="s">
        <v>18</v>
      </c>
      <c r="G36" s="2"/>
      <c r="H36" s="2" t="str">
        <f aca="false">VLOOKUP(B36,$N$2:$S$41,3,FALSE())</f>
        <v>Model-Y</v>
      </c>
      <c r="I36" s="2" t="str">
        <f aca="false">VLOOKUP(B36,$N$2:$S$41,2,FALSE())</f>
        <v>Ростов-на-Дону, Садовая</v>
      </c>
      <c r="J36" s="2" t="n">
        <f aca="false">IF(F36="success",1,0)</f>
        <v>1</v>
      </c>
      <c r="K36" s="2" t="n">
        <f aca="false">VLOOKUP(H36,Lookup!$A$4:$B$6,2,FALSE())</f>
        <v>14</v>
      </c>
      <c r="N36" s="2" t="s">
        <v>45</v>
      </c>
      <c r="O36" s="2" t="s">
        <v>135</v>
      </c>
      <c r="P36" s="2" t="s">
        <v>26</v>
      </c>
      <c r="Q36" s="4" t="n">
        <v>46295.7354050926</v>
      </c>
      <c r="R36" s="2" t="s">
        <v>21</v>
      </c>
      <c r="S36" s="2"/>
    </row>
    <row r="37" customFormat="false" ht="15" hidden="false" customHeight="false" outlineLevel="0" collapsed="false">
      <c r="A37" s="2" t="s">
        <v>136</v>
      </c>
      <c r="B37" s="2" t="s">
        <v>34</v>
      </c>
      <c r="C37" s="3" t="n">
        <v>46268.4995138889</v>
      </c>
      <c r="D37" s="2" t="s">
        <v>65</v>
      </c>
      <c r="E37" s="2" t="n">
        <v>7000</v>
      </c>
      <c r="F37" s="2" t="s">
        <v>18</v>
      </c>
      <c r="G37" s="2"/>
      <c r="H37" s="2" t="str">
        <f aca="false">VLOOKUP(B37,$N$2:$S$41,3,FALSE())</f>
        <v>Model-X</v>
      </c>
      <c r="I37" s="2" t="str">
        <f aca="false">VLOOKUP(B37,$N$2:$S$41,2,FALSE())</f>
        <v>Москва, Профсоюзная</v>
      </c>
      <c r="J37" s="2" t="n">
        <f aca="false">IF(F37="success",1,0)</f>
        <v>1</v>
      </c>
      <c r="K37" s="2" t="n">
        <f aca="false">VLOOKUP(H37,Lookup!$A$4:$B$6,2,FALSE())</f>
        <v>18</v>
      </c>
      <c r="N37" s="2" t="s">
        <v>23</v>
      </c>
      <c r="O37" s="2" t="s">
        <v>137</v>
      </c>
      <c r="P37" s="2" t="s">
        <v>20</v>
      </c>
      <c r="Q37" s="4" t="n">
        <v>46295.8499884259</v>
      </c>
      <c r="R37" s="2" t="s">
        <v>21</v>
      </c>
      <c r="S37" s="2" t="n">
        <v>62</v>
      </c>
    </row>
    <row r="38" customFormat="false" ht="15" hidden="false" customHeight="false" outlineLevel="0" collapsed="false">
      <c r="A38" s="2" t="s">
        <v>138</v>
      </c>
      <c r="B38" s="2" t="s">
        <v>58</v>
      </c>
      <c r="C38" s="3" t="n">
        <v>46268.5129976852</v>
      </c>
      <c r="D38" s="2" t="s">
        <v>17</v>
      </c>
      <c r="E38" s="2" t="n">
        <v>15000</v>
      </c>
      <c r="F38" s="2" t="s">
        <v>18</v>
      </c>
      <c r="G38" s="2"/>
      <c r="H38" s="2" t="str">
        <f aca="false">VLOOKUP(B38,$N$2:$S$41,3,FALSE())</f>
        <v>Model-Y</v>
      </c>
      <c r="I38" s="2" t="str">
        <f aca="false">VLOOKUP(B38,$N$2:$S$41,2,FALSE())</f>
        <v>Краснодар, Красная</v>
      </c>
      <c r="J38" s="2" t="n">
        <f aca="false">IF(F38="success",1,0)</f>
        <v>1</v>
      </c>
      <c r="K38" s="2" t="n">
        <f aca="false">VLOOKUP(H38,Lookup!$A$4:$B$6,2,FALSE())</f>
        <v>14</v>
      </c>
      <c r="N38" s="2" t="s">
        <v>139</v>
      </c>
      <c r="O38" s="2" t="s">
        <v>140</v>
      </c>
      <c r="P38" s="2" t="s">
        <v>20</v>
      </c>
      <c r="Q38" s="4" t="n">
        <v>46295.9479050926</v>
      </c>
      <c r="R38" s="2" t="s">
        <v>21</v>
      </c>
      <c r="S38" s="2" t="n">
        <v>49</v>
      </c>
    </row>
    <row r="39" customFormat="false" ht="15" hidden="false" customHeight="false" outlineLevel="0" collapsed="false">
      <c r="A39" s="2" t="s">
        <v>141</v>
      </c>
      <c r="B39" s="2" t="s">
        <v>50</v>
      </c>
      <c r="C39" s="3" t="n">
        <v>46268.5894675926</v>
      </c>
      <c r="D39" s="2" t="s">
        <v>17</v>
      </c>
      <c r="E39" s="2" t="n">
        <v>10000</v>
      </c>
      <c r="F39" s="2" t="s">
        <v>18</v>
      </c>
      <c r="G39" s="2"/>
      <c r="H39" s="2" t="str">
        <f aca="false">VLOOKUP(B39,$N$2:$S$41,3,FALSE())</f>
        <v>Model-Y</v>
      </c>
      <c r="I39" s="2" t="str">
        <f aca="false">VLOOKUP(B39,$N$2:$S$41,2,FALSE())</f>
        <v>Санкт-Петербург, Московский пр-т</v>
      </c>
      <c r="J39" s="2" t="n">
        <f aca="false">IF(F39="success",1,0)</f>
        <v>1</v>
      </c>
      <c r="K39" s="2" t="n">
        <f aca="false">VLOOKUP(H39,Lookup!$A$4:$B$6,2,FALSE())</f>
        <v>14</v>
      </c>
      <c r="N39" s="2" t="s">
        <v>142</v>
      </c>
      <c r="O39" s="2" t="s">
        <v>143</v>
      </c>
      <c r="P39" s="2" t="s">
        <v>26</v>
      </c>
      <c r="Q39" s="4" t="n">
        <v>46295.6194328704</v>
      </c>
      <c r="R39" s="2" t="s">
        <v>21</v>
      </c>
      <c r="S39" s="2" t="n">
        <v>59</v>
      </c>
    </row>
    <row r="40" customFormat="false" ht="15" hidden="false" customHeight="false" outlineLevel="0" collapsed="false">
      <c r="A40" s="2" t="s">
        <v>144</v>
      </c>
      <c r="B40" s="2" t="s">
        <v>54</v>
      </c>
      <c r="C40" s="3" t="n">
        <v>46268.7554166667</v>
      </c>
      <c r="D40" s="2" t="s">
        <v>29</v>
      </c>
      <c r="E40" s="2" t="n">
        <v>0</v>
      </c>
      <c r="F40" s="2" t="s">
        <v>18</v>
      </c>
      <c r="G40" s="2"/>
      <c r="H40" s="2" t="str">
        <f aca="false">VLOOKUP(B40,$N$2:$S$41,3,FALSE())</f>
        <v>Model-Z</v>
      </c>
      <c r="I40" s="2" t="str">
        <f aca="false">VLOOKUP(B40,$N$2:$S$41,2,FALSE())</f>
        <v>Санкт-Петербург, Лиговский пр-т</v>
      </c>
      <c r="J40" s="2" t="n">
        <f aca="false">IF(F40="success",1,0)</f>
        <v>1</v>
      </c>
      <c r="K40" s="2" t="n">
        <f aca="false">VLOOKUP(H40,Lookup!$A$4:$B$6,2,FALSE())</f>
        <v>16</v>
      </c>
      <c r="N40" s="2" t="s">
        <v>145</v>
      </c>
      <c r="O40" s="2" t="s">
        <v>146</v>
      </c>
      <c r="P40" s="2" t="s">
        <v>32</v>
      </c>
      <c r="Q40" s="4" t="n">
        <v>46295.8826273148</v>
      </c>
      <c r="R40" s="2" t="s">
        <v>21</v>
      </c>
      <c r="S40" s="2" t="n">
        <v>87</v>
      </c>
    </row>
    <row r="41" customFormat="false" ht="15" hidden="false" customHeight="false" outlineLevel="0" collapsed="false">
      <c r="A41" s="2" t="s">
        <v>147</v>
      </c>
      <c r="B41" s="2" t="s">
        <v>62</v>
      </c>
      <c r="C41" s="3" t="n">
        <v>46268.7743055556</v>
      </c>
      <c r="D41" s="2" t="s">
        <v>46</v>
      </c>
      <c r="E41" s="2" t="n">
        <v>1000</v>
      </c>
      <c r="F41" s="2" t="s">
        <v>18</v>
      </c>
      <c r="G41" s="2"/>
      <c r="H41" s="2" t="str">
        <f aca="false">VLOOKUP(B41,$N$2:$S$41,3,FALSE())</f>
        <v>Model-X</v>
      </c>
      <c r="I41" s="2" t="str">
        <f aca="false">VLOOKUP(B41,$N$2:$S$41,2,FALSE())</f>
        <v>Казань, Баумана</v>
      </c>
      <c r="J41" s="2" t="n">
        <f aca="false">IF(F41="success",1,0)</f>
        <v>1</v>
      </c>
      <c r="K41" s="2" t="n">
        <f aca="false">VLOOKUP(H41,Lookup!$A$4:$B$6,2,FALSE())</f>
        <v>18</v>
      </c>
      <c r="N41" s="2" t="s">
        <v>148</v>
      </c>
      <c r="O41" s="2" t="s">
        <v>149</v>
      </c>
      <c r="P41" s="2" t="s">
        <v>20</v>
      </c>
      <c r="Q41" s="4" t="n">
        <v>46295.7291550926</v>
      </c>
      <c r="R41" s="2" t="s">
        <v>21</v>
      </c>
      <c r="S41" s="2" t="n">
        <v>62</v>
      </c>
    </row>
    <row r="42" customFormat="false" ht="15" hidden="false" customHeight="false" outlineLevel="0" collapsed="false">
      <c r="A42" s="2" t="s">
        <v>150</v>
      </c>
      <c r="B42" s="2" t="s">
        <v>111</v>
      </c>
      <c r="C42" s="3" t="n">
        <v>46268.8076273148</v>
      </c>
      <c r="D42" s="2" t="s">
        <v>46</v>
      </c>
      <c r="E42" s="2" t="n">
        <v>500</v>
      </c>
      <c r="F42" s="2" t="s">
        <v>18</v>
      </c>
      <c r="G42" s="2"/>
      <c r="H42" s="2" t="str">
        <f aca="false">VLOOKUP(B42,$N$2:$S$41,3,FALSE())</f>
        <v>Model-X</v>
      </c>
      <c r="I42" s="2" t="str">
        <f aca="false">VLOOKUP(B42,$N$2:$S$41,2,FALSE())</f>
        <v>Самара, Ленинградская</v>
      </c>
      <c r="J42" s="2" t="n">
        <f aca="false">IF(F42="success",1,0)</f>
        <v>1</v>
      </c>
      <c r="K42" s="2" t="n">
        <f aca="false">VLOOKUP(H42,Lookup!$A$4:$B$6,2,FALSE())</f>
        <v>18</v>
      </c>
    </row>
    <row r="43" customFormat="false" ht="15" hidden="false" customHeight="false" outlineLevel="0" collapsed="false">
      <c r="A43" s="2" t="s">
        <v>151</v>
      </c>
      <c r="B43" s="2" t="s">
        <v>125</v>
      </c>
      <c r="C43" s="3" t="n">
        <v>46268.8096296296</v>
      </c>
      <c r="D43" s="2" t="s">
        <v>17</v>
      </c>
      <c r="E43" s="2" t="n">
        <v>10000</v>
      </c>
      <c r="F43" s="2" t="s">
        <v>18</v>
      </c>
      <c r="G43" s="2"/>
      <c r="H43" s="2" t="str">
        <f aca="false">VLOOKUP(B43,$N$2:$S$41,3,FALSE())</f>
        <v>Model-X</v>
      </c>
      <c r="I43" s="2" t="str">
        <f aca="false">VLOOKUP(B43,$N$2:$S$41,2,FALSE())</f>
        <v>Ростов-на-Дону, Пушкинская</v>
      </c>
      <c r="J43" s="2" t="n">
        <f aca="false">IF(F43="success",1,0)</f>
        <v>1</v>
      </c>
      <c r="K43" s="2" t="n">
        <f aca="false">VLOOKUP(H43,Lookup!$A$4:$B$6,2,FALSE())</f>
        <v>18</v>
      </c>
    </row>
    <row r="44" customFormat="false" ht="15" hidden="false" customHeight="false" outlineLevel="0" collapsed="false">
      <c r="A44" s="2" t="s">
        <v>152</v>
      </c>
      <c r="B44" s="2" t="s">
        <v>88</v>
      </c>
      <c r="C44" s="3" t="n">
        <v>46268.8395023148</v>
      </c>
      <c r="D44" s="2" t="s">
        <v>17</v>
      </c>
      <c r="E44" s="2" t="n">
        <v>10000</v>
      </c>
      <c r="F44" s="2" t="s">
        <v>18</v>
      </c>
      <c r="G44" s="2"/>
      <c r="H44" s="2" t="str">
        <f aca="false">VLOOKUP(B44,$N$2:$S$41,3,FALSE())</f>
        <v>Model-Z</v>
      </c>
      <c r="I44" s="2" t="str">
        <f aca="false">VLOOKUP(B44,$N$2:$S$41,2,FALSE())</f>
        <v>Екатеринбург, Вайнера</v>
      </c>
      <c r="J44" s="2" t="n">
        <f aca="false">IF(F44="success",1,0)</f>
        <v>1</v>
      </c>
      <c r="K44" s="2" t="n">
        <f aca="false">VLOOKUP(H44,Lookup!$A$4:$B$6,2,FALSE())</f>
        <v>16</v>
      </c>
    </row>
    <row r="45" customFormat="false" ht="15" hidden="false" customHeight="false" outlineLevel="0" collapsed="false">
      <c r="A45" s="2" t="s">
        <v>153</v>
      </c>
      <c r="B45" s="2" t="s">
        <v>114</v>
      </c>
      <c r="C45" s="3" t="n">
        <v>46268.8409259259</v>
      </c>
      <c r="D45" s="2" t="s">
        <v>29</v>
      </c>
      <c r="E45" s="2" t="n">
        <v>0</v>
      </c>
      <c r="F45" s="2" t="s">
        <v>18</v>
      </c>
      <c r="G45" s="2"/>
      <c r="H45" s="2" t="str">
        <f aca="false">VLOOKUP(B45,$N$2:$S$41,3,FALSE())</f>
        <v>Model-Z</v>
      </c>
      <c r="I45" s="2" t="str">
        <f aca="false">VLOOKUP(B45,$N$2:$S$41,2,FALSE())</f>
        <v>Самара, Куйбышева</v>
      </c>
      <c r="J45" s="2" t="n">
        <f aca="false">IF(F45="success",1,0)</f>
        <v>1</v>
      </c>
      <c r="K45" s="2" t="n">
        <f aca="false">VLOOKUP(H45,Lookup!$A$4:$B$6,2,FALSE())</f>
        <v>16</v>
      </c>
    </row>
    <row r="46" customFormat="false" ht="15" hidden="false" customHeight="false" outlineLevel="0" collapsed="false">
      <c r="A46" s="2" t="s">
        <v>154</v>
      </c>
      <c r="B46" s="2" t="s">
        <v>50</v>
      </c>
      <c r="C46" s="3" t="n">
        <v>46268.8563310185</v>
      </c>
      <c r="D46" s="2" t="s">
        <v>65</v>
      </c>
      <c r="E46" s="2" t="n">
        <v>500</v>
      </c>
      <c r="F46" s="2" t="s">
        <v>18</v>
      </c>
      <c r="G46" s="2"/>
      <c r="H46" s="2" t="str">
        <f aca="false">VLOOKUP(B46,$N$2:$S$41,3,FALSE())</f>
        <v>Model-Y</v>
      </c>
      <c r="I46" s="2" t="str">
        <f aca="false">VLOOKUP(B46,$N$2:$S$41,2,FALSE())</f>
        <v>Санкт-Петербург, Московский пр-т</v>
      </c>
      <c r="J46" s="2" t="n">
        <f aca="false">IF(F46="success",1,0)</f>
        <v>1</v>
      </c>
      <c r="K46" s="2" t="n">
        <f aca="false">VLOOKUP(H46,Lookup!$A$4:$B$6,2,FALSE())</f>
        <v>14</v>
      </c>
    </row>
    <row r="47" customFormat="false" ht="15" hidden="false" customHeight="false" outlineLevel="0" collapsed="false">
      <c r="A47" s="2" t="s">
        <v>155</v>
      </c>
      <c r="B47" s="2" t="s">
        <v>97</v>
      </c>
      <c r="C47" s="3" t="n">
        <v>46268.8987615741</v>
      </c>
      <c r="D47" s="2" t="s">
        <v>17</v>
      </c>
      <c r="E47" s="2" t="n">
        <v>3000</v>
      </c>
      <c r="F47" s="2" t="s">
        <v>18</v>
      </c>
      <c r="G47" s="2"/>
      <c r="H47" s="2" t="str">
        <f aca="false">VLOOKUP(B47,$N$2:$S$41,3,FALSE())</f>
        <v>Model-X</v>
      </c>
      <c r="I47" s="2" t="str">
        <f aca="false">VLOOKUP(B47,$N$2:$S$41,2,FALSE())</f>
        <v>Новосибирск, Гоголя</v>
      </c>
      <c r="J47" s="2" t="n">
        <f aca="false">IF(F47="success",1,0)</f>
        <v>1</v>
      </c>
      <c r="K47" s="2" t="n">
        <f aca="false">VLOOKUP(H47,Lookup!$A$4:$B$6,2,FALSE())</f>
        <v>18</v>
      </c>
    </row>
    <row r="48" customFormat="false" ht="15" hidden="false" customHeight="false" outlineLevel="0" collapsed="false">
      <c r="A48" s="2" t="s">
        <v>156</v>
      </c>
      <c r="B48" s="2" t="s">
        <v>38</v>
      </c>
      <c r="C48" s="3" t="n">
        <v>46269.2854976852</v>
      </c>
      <c r="D48" s="2" t="s">
        <v>17</v>
      </c>
      <c r="E48" s="2" t="n">
        <v>7000</v>
      </c>
      <c r="F48" s="2" t="s">
        <v>18</v>
      </c>
      <c r="G48" s="2"/>
      <c r="H48" s="2" t="str">
        <f aca="false">VLOOKUP(B48,$N$2:$S$41,3,FALSE())</f>
        <v>Model-Z</v>
      </c>
      <c r="I48" s="2" t="str">
        <f aca="false">VLOOKUP(B48,$N$2:$S$41,2,FALSE())</f>
        <v>Казань, Кремлёвская</v>
      </c>
      <c r="J48" s="2" t="n">
        <f aca="false">IF(F48="success",1,0)</f>
        <v>1</v>
      </c>
      <c r="K48" s="2" t="n">
        <f aca="false">VLOOKUP(H48,Lookup!$A$4:$B$6,2,FALSE())</f>
        <v>16</v>
      </c>
    </row>
    <row r="49" customFormat="false" ht="15" hidden="false" customHeight="false" outlineLevel="0" collapsed="false">
      <c r="A49" s="2" t="s">
        <v>157</v>
      </c>
      <c r="B49" s="2" t="s">
        <v>39</v>
      </c>
      <c r="C49" s="3" t="n">
        <v>46269.3396875</v>
      </c>
      <c r="D49" s="2" t="s">
        <v>17</v>
      </c>
      <c r="E49" s="2" t="n">
        <v>1000</v>
      </c>
      <c r="F49" s="2" t="s">
        <v>18</v>
      </c>
      <c r="G49" s="2"/>
      <c r="H49" s="2" t="str">
        <f aca="false">VLOOKUP(B49,$N$2:$S$41,3,FALSE())</f>
        <v>Model-Y</v>
      </c>
      <c r="I49" s="2" t="str">
        <f aca="false">VLOOKUP(B49,$N$2:$S$41,2,FALSE())</f>
        <v>Москва, Кутузовский пр-т</v>
      </c>
      <c r="J49" s="2" t="n">
        <f aca="false">IF(F49="success",1,0)</f>
        <v>1</v>
      </c>
      <c r="K49" s="2" t="n">
        <f aca="false">VLOOKUP(H49,Lookup!$A$4:$B$6,2,FALSE())</f>
        <v>14</v>
      </c>
    </row>
    <row r="50" customFormat="false" ht="15" hidden="false" customHeight="false" outlineLevel="0" collapsed="false">
      <c r="A50" s="2" t="s">
        <v>158</v>
      </c>
      <c r="B50" s="2" t="s">
        <v>114</v>
      </c>
      <c r="C50" s="3" t="n">
        <v>46269.3458449074</v>
      </c>
      <c r="D50" s="2" t="s">
        <v>17</v>
      </c>
      <c r="E50" s="2" t="n">
        <v>3000</v>
      </c>
      <c r="F50" s="2" t="s">
        <v>18</v>
      </c>
      <c r="G50" s="2"/>
      <c r="H50" s="2" t="str">
        <f aca="false">VLOOKUP(B50,$N$2:$S$41,3,FALSE())</f>
        <v>Model-Z</v>
      </c>
      <c r="I50" s="2" t="str">
        <f aca="false">VLOOKUP(B50,$N$2:$S$41,2,FALSE())</f>
        <v>Самара, Куйбышева</v>
      </c>
      <c r="J50" s="2" t="n">
        <f aca="false">IF(F50="success",1,0)</f>
        <v>1</v>
      </c>
      <c r="K50" s="2" t="n">
        <f aca="false">VLOOKUP(H50,Lookup!$A$4:$B$6,2,FALSE())</f>
        <v>16</v>
      </c>
    </row>
    <row r="51" customFormat="false" ht="15" hidden="false" customHeight="false" outlineLevel="0" collapsed="false">
      <c r="A51" s="2" t="s">
        <v>159</v>
      </c>
      <c r="B51" s="2" t="s">
        <v>35</v>
      </c>
      <c r="C51" s="3" t="n">
        <v>46269.3487731482</v>
      </c>
      <c r="D51" s="2" t="s">
        <v>17</v>
      </c>
      <c r="E51" s="2" t="n">
        <v>1500</v>
      </c>
      <c r="F51" s="2" t="s">
        <v>76</v>
      </c>
      <c r="G51" s="2" t="s">
        <v>160</v>
      </c>
      <c r="H51" s="2" t="str">
        <f aca="false">VLOOKUP(B51,$N$2:$S$41,3,FALSE())</f>
        <v>Model-X</v>
      </c>
      <c r="I51" s="2" t="str">
        <f aca="false">VLOOKUP(B51,$N$2:$S$41,2,FALSE())</f>
        <v>Москва, Ленинградский пр-т</v>
      </c>
      <c r="J51" s="2" t="n">
        <f aca="false">IF(F51="success",1,0)</f>
        <v>0</v>
      </c>
      <c r="K51" s="2" t="n">
        <f aca="false">VLOOKUP(H51,Lookup!$A$4:$B$6,2,FALSE())</f>
        <v>18</v>
      </c>
    </row>
    <row r="52" customFormat="false" ht="15" hidden="false" customHeight="false" outlineLevel="0" collapsed="false">
      <c r="A52" s="2" t="s">
        <v>161</v>
      </c>
      <c r="B52" s="2" t="s">
        <v>42</v>
      </c>
      <c r="C52" s="3" t="n">
        <v>46269.3645138889</v>
      </c>
      <c r="D52" s="2" t="s">
        <v>65</v>
      </c>
      <c r="E52" s="2" t="n">
        <v>5000</v>
      </c>
      <c r="F52" s="2" t="s">
        <v>100</v>
      </c>
      <c r="G52" s="2"/>
      <c r="H52" s="2" t="str">
        <f aca="false">VLOOKUP(B52,$N$2:$S$41,3,FALSE())</f>
        <v>Model-X</v>
      </c>
      <c r="I52" s="2" t="str">
        <f aca="false">VLOOKUP(B52,$N$2:$S$41,2,FALSE())</f>
        <v>Краснодар, Гимназическая</v>
      </c>
      <c r="J52" s="2" t="n">
        <f aca="false">IF(F52="success",1,0)</f>
        <v>0</v>
      </c>
      <c r="K52" s="2" t="n">
        <f aca="false">VLOOKUP(H52,Lookup!$A$4:$B$6,2,FALSE())</f>
        <v>18</v>
      </c>
    </row>
    <row r="53" customFormat="false" ht="15" hidden="false" customHeight="false" outlineLevel="0" collapsed="false">
      <c r="A53" s="2" t="s">
        <v>162</v>
      </c>
      <c r="B53" s="2" t="s">
        <v>35</v>
      </c>
      <c r="C53" s="3" t="n">
        <v>46269.3666782407</v>
      </c>
      <c r="D53" s="2" t="s">
        <v>17</v>
      </c>
      <c r="E53" s="2" t="n">
        <v>5000</v>
      </c>
      <c r="F53" s="2" t="s">
        <v>18</v>
      </c>
      <c r="G53" s="2"/>
      <c r="H53" s="2" t="str">
        <f aca="false">VLOOKUP(B53,$N$2:$S$41,3,FALSE())</f>
        <v>Model-X</v>
      </c>
      <c r="I53" s="2" t="str">
        <f aca="false">VLOOKUP(B53,$N$2:$S$41,2,FALSE())</f>
        <v>Москва, Ленинградский пр-т</v>
      </c>
      <c r="J53" s="2" t="n">
        <f aca="false">IF(F53="success",1,0)</f>
        <v>1</v>
      </c>
      <c r="K53" s="2" t="n">
        <f aca="false">VLOOKUP(H53,Lookup!$A$4:$B$6,2,FALSE())</f>
        <v>18</v>
      </c>
    </row>
    <row r="54" customFormat="false" ht="15" hidden="false" customHeight="false" outlineLevel="0" collapsed="false">
      <c r="A54" s="2" t="s">
        <v>163</v>
      </c>
      <c r="B54" s="2" t="s">
        <v>103</v>
      </c>
      <c r="C54" s="3" t="n">
        <v>46269.3751851852</v>
      </c>
      <c r="D54" s="2" t="s">
        <v>17</v>
      </c>
      <c r="E54" s="2" t="n">
        <v>15000</v>
      </c>
      <c r="F54" s="2" t="s">
        <v>18</v>
      </c>
      <c r="G54" s="2"/>
      <c r="H54" s="2" t="str">
        <f aca="false">VLOOKUP(B54,$N$2:$S$41,3,FALSE())</f>
        <v>Model-Y</v>
      </c>
      <c r="I54" s="2" t="str">
        <f aca="false">VLOOKUP(B54,$N$2:$S$41,2,FALSE())</f>
        <v>Нижний Новгород, Большая Покровская</v>
      </c>
      <c r="J54" s="2" t="n">
        <f aca="false">IF(F54="success",1,0)</f>
        <v>1</v>
      </c>
      <c r="K54" s="2" t="n">
        <f aca="false">VLOOKUP(H54,Lookup!$A$4:$B$6,2,FALSE())</f>
        <v>14</v>
      </c>
    </row>
    <row r="55" customFormat="false" ht="15" hidden="false" customHeight="false" outlineLevel="0" collapsed="false">
      <c r="A55" s="2" t="s">
        <v>164</v>
      </c>
      <c r="B55" s="2" t="s">
        <v>96</v>
      </c>
      <c r="C55" s="3" t="n">
        <v>46269.3839930556</v>
      </c>
      <c r="D55" s="2" t="s">
        <v>46</v>
      </c>
      <c r="E55" s="2" t="n">
        <v>5000</v>
      </c>
      <c r="F55" s="2" t="s">
        <v>18</v>
      </c>
      <c r="G55" s="2"/>
      <c r="H55" s="2" t="str">
        <f aca="false">VLOOKUP(B55,$N$2:$S$41,3,FALSE())</f>
        <v>Model-X</v>
      </c>
      <c r="I55" s="2" t="str">
        <f aca="false">VLOOKUP(B55,$N$2:$S$41,2,FALSE())</f>
        <v>Нижний Новгород, Белинского</v>
      </c>
      <c r="J55" s="2" t="n">
        <f aca="false">IF(F55="success",1,0)</f>
        <v>1</v>
      </c>
      <c r="K55" s="2" t="n">
        <f aca="false">VLOOKUP(H55,Lookup!$A$4:$B$6,2,FALSE())</f>
        <v>18</v>
      </c>
    </row>
    <row r="56" customFormat="false" ht="15" hidden="false" customHeight="false" outlineLevel="0" collapsed="false">
      <c r="A56" s="2" t="s">
        <v>165</v>
      </c>
      <c r="B56" s="2" t="s">
        <v>42</v>
      </c>
      <c r="C56" s="3" t="n">
        <v>46269.3861805556</v>
      </c>
      <c r="D56" s="2" t="s">
        <v>46</v>
      </c>
      <c r="E56" s="2" t="n">
        <v>15000</v>
      </c>
      <c r="F56" s="2" t="s">
        <v>100</v>
      </c>
      <c r="G56" s="2"/>
      <c r="H56" s="2" t="str">
        <f aca="false">VLOOKUP(B56,$N$2:$S$41,3,FALSE())</f>
        <v>Model-X</v>
      </c>
      <c r="I56" s="2" t="str">
        <f aca="false">VLOOKUP(B56,$N$2:$S$41,2,FALSE())</f>
        <v>Краснодар, Гимназическая</v>
      </c>
      <c r="J56" s="2" t="n">
        <f aca="false">IF(F56="success",1,0)</f>
        <v>0</v>
      </c>
      <c r="K56" s="2" t="n">
        <f aca="false">VLOOKUP(H56,Lookup!$A$4:$B$6,2,FALSE())</f>
        <v>18</v>
      </c>
    </row>
    <row r="57" customFormat="false" ht="15" hidden="false" customHeight="false" outlineLevel="0" collapsed="false">
      <c r="A57" s="2" t="s">
        <v>166</v>
      </c>
      <c r="B57" s="2" t="s">
        <v>42</v>
      </c>
      <c r="C57" s="3" t="n">
        <v>46269.3888773148</v>
      </c>
      <c r="D57" s="2" t="s">
        <v>65</v>
      </c>
      <c r="E57" s="2" t="n">
        <v>15000</v>
      </c>
      <c r="F57" s="2" t="s">
        <v>18</v>
      </c>
      <c r="G57" s="2"/>
      <c r="H57" s="2" t="str">
        <f aca="false">VLOOKUP(B57,$N$2:$S$41,3,FALSE())</f>
        <v>Model-X</v>
      </c>
      <c r="I57" s="2" t="str">
        <f aca="false">VLOOKUP(B57,$N$2:$S$41,2,FALSE())</f>
        <v>Краснодар, Гимназическая</v>
      </c>
      <c r="J57" s="2" t="n">
        <f aca="false">IF(F57="success",1,0)</f>
        <v>1</v>
      </c>
      <c r="K57" s="2" t="n">
        <f aca="false">VLOOKUP(H57,Lookup!$A$4:$B$6,2,FALSE())</f>
        <v>18</v>
      </c>
    </row>
    <row r="58" customFormat="false" ht="15" hidden="false" customHeight="false" outlineLevel="0" collapsed="false">
      <c r="A58" s="2" t="s">
        <v>167</v>
      </c>
      <c r="B58" s="2" t="s">
        <v>103</v>
      </c>
      <c r="C58" s="3" t="n">
        <v>46269.3968634259</v>
      </c>
      <c r="D58" s="2" t="s">
        <v>46</v>
      </c>
      <c r="E58" s="2" t="n">
        <v>2000</v>
      </c>
      <c r="F58" s="2" t="s">
        <v>18</v>
      </c>
      <c r="G58" s="2"/>
      <c r="H58" s="2" t="str">
        <f aca="false">VLOOKUP(B58,$N$2:$S$41,3,FALSE())</f>
        <v>Model-Y</v>
      </c>
      <c r="I58" s="2" t="str">
        <f aca="false">VLOOKUP(B58,$N$2:$S$41,2,FALSE())</f>
        <v>Нижний Новгород, Большая Покровская</v>
      </c>
      <c r="J58" s="2" t="n">
        <f aca="false">IF(F58="success",1,0)</f>
        <v>1</v>
      </c>
      <c r="K58" s="2" t="n">
        <f aca="false">VLOOKUP(H58,Lookup!$A$4:$B$6,2,FALSE())</f>
        <v>14</v>
      </c>
    </row>
    <row r="59" customFormat="false" ht="15" hidden="false" customHeight="false" outlineLevel="0" collapsed="false">
      <c r="A59" s="2" t="s">
        <v>168</v>
      </c>
      <c r="B59" s="2" t="s">
        <v>30</v>
      </c>
      <c r="C59" s="3" t="n">
        <v>46269.3968865741</v>
      </c>
      <c r="D59" s="2" t="s">
        <v>17</v>
      </c>
      <c r="E59" s="2" t="n">
        <v>1500</v>
      </c>
      <c r="F59" s="2" t="s">
        <v>18</v>
      </c>
      <c r="G59" s="2"/>
      <c r="H59" s="2" t="str">
        <f aca="false">VLOOKUP(B59,$N$2:$S$41,3,FALSE())</f>
        <v>Model-Z</v>
      </c>
      <c r="I59" s="2" t="str">
        <f aca="false">VLOOKUP(B59,$N$2:$S$41,2,FALSE())</f>
        <v>Москва, Новослободская</v>
      </c>
      <c r="J59" s="2" t="n">
        <f aca="false">IF(F59="success",1,0)</f>
        <v>1</v>
      </c>
      <c r="K59" s="2" t="n">
        <f aca="false">VLOOKUP(H59,Lookup!$A$4:$B$6,2,FALSE())</f>
        <v>16</v>
      </c>
    </row>
    <row r="60" customFormat="false" ht="15" hidden="false" customHeight="false" outlineLevel="0" collapsed="false">
      <c r="A60" s="2" t="s">
        <v>169</v>
      </c>
      <c r="B60" s="2" t="s">
        <v>24</v>
      </c>
      <c r="C60" s="3" t="n">
        <v>46269.4014351852</v>
      </c>
      <c r="D60" s="2" t="s">
        <v>46</v>
      </c>
      <c r="E60" s="2" t="n">
        <v>15000</v>
      </c>
      <c r="F60" s="2" t="s">
        <v>18</v>
      </c>
      <c r="G60" s="2"/>
      <c r="H60" s="2" t="str">
        <f aca="false">VLOOKUP(B60,$N$2:$S$41,3,FALSE())</f>
        <v>Model-Y</v>
      </c>
      <c r="I60" s="2" t="str">
        <f aca="false">VLOOKUP(B60,$N$2:$S$41,2,FALSE())</f>
        <v>Москва, Арбат</v>
      </c>
      <c r="J60" s="2" t="n">
        <f aca="false">IF(F60="success",1,0)</f>
        <v>1</v>
      </c>
      <c r="K60" s="2" t="n">
        <f aca="false">VLOOKUP(H60,Lookup!$A$4:$B$6,2,FALSE())</f>
        <v>14</v>
      </c>
    </row>
    <row r="61" customFormat="false" ht="15" hidden="false" customHeight="false" outlineLevel="0" collapsed="false">
      <c r="A61" s="2" t="s">
        <v>170</v>
      </c>
      <c r="B61" s="2" t="s">
        <v>42</v>
      </c>
      <c r="C61" s="3" t="n">
        <v>46269.4297453704</v>
      </c>
      <c r="D61" s="2" t="s">
        <v>46</v>
      </c>
      <c r="E61" s="2" t="n">
        <v>10000</v>
      </c>
      <c r="F61" s="2" t="s">
        <v>18</v>
      </c>
      <c r="G61" s="2"/>
      <c r="H61" s="2" t="str">
        <f aca="false">VLOOKUP(B61,$N$2:$S$41,3,FALSE())</f>
        <v>Model-X</v>
      </c>
      <c r="I61" s="2" t="str">
        <f aca="false">VLOOKUP(B61,$N$2:$S$41,2,FALSE())</f>
        <v>Краснодар, Гимназическая</v>
      </c>
      <c r="J61" s="2" t="n">
        <f aca="false">IF(F61="success",1,0)</f>
        <v>1</v>
      </c>
      <c r="K61" s="2" t="n">
        <f aca="false">VLOOKUP(H61,Lookup!$A$4:$B$6,2,FALSE())</f>
        <v>18</v>
      </c>
    </row>
    <row r="62" customFormat="false" ht="15" hidden="false" customHeight="false" outlineLevel="0" collapsed="false">
      <c r="A62" s="2" t="s">
        <v>171</v>
      </c>
      <c r="B62" s="2" t="s">
        <v>114</v>
      </c>
      <c r="C62" s="3" t="n">
        <v>46269.4486111111</v>
      </c>
      <c r="D62" s="2" t="s">
        <v>29</v>
      </c>
      <c r="E62" s="2" t="n">
        <v>0</v>
      </c>
      <c r="F62" s="2" t="s">
        <v>18</v>
      </c>
      <c r="G62" s="2"/>
      <c r="H62" s="2" t="str">
        <f aca="false">VLOOKUP(B62,$N$2:$S$41,3,FALSE())</f>
        <v>Model-Z</v>
      </c>
      <c r="I62" s="2" t="str">
        <f aca="false">VLOOKUP(B62,$N$2:$S$41,2,FALSE())</f>
        <v>Самара, Куйбышева</v>
      </c>
      <c r="J62" s="2" t="n">
        <f aca="false">IF(F62="success",1,0)</f>
        <v>1</v>
      </c>
      <c r="K62" s="2" t="n">
        <f aca="false">VLOOKUP(H62,Lookup!$A$4:$B$6,2,FALSE())</f>
        <v>16</v>
      </c>
    </row>
    <row r="63" customFormat="false" ht="15" hidden="false" customHeight="false" outlineLevel="0" collapsed="false">
      <c r="A63" s="2" t="s">
        <v>172</v>
      </c>
      <c r="B63" s="2" t="s">
        <v>85</v>
      </c>
      <c r="C63" s="3" t="n">
        <v>46269.4772916667</v>
      </c>
      <c r="D63" s="2" t="s">
        <v>29</v>
      </c>
      <c r="E63" s="2" t="n">
        <v>0</v>
      </c>
      <c r="F63" s="2" t="s">
        <v>18</v>
      </c>
      <c r="G63" s="2"/>
      <c r="H63" s="2" t="str">
        <f aca="false">VLOOKUP(B63,$N$2:$S$41,3,FALSE())</f>
        <v>Model-Y</v>
      </c>
      <c r="I63" s="2" t="str">
        <f aca="false">VLOOKUP(B63,$N$2:$S$41,2,FALSE())</f>
        <v>Екатеринбург, 8 Марта</v>
      </c>
      <c r="J63" s="2" t="n">
        <f aca="false">IF(F63="success",1,0)</f>
        <v>1</v>
      </c>
      <c r="K63" s="2" t="n">
        <f aca="false">VLOOKUP(H63,Lookup!$A$4:$B$6,2,FALSE())</f>
        <v>14</v>
      </c>
    </row>
    <row r="64" customFormat="false" ht="15" hidden="false" customHeight="false" outlineLevel="0" collapsed="false">
      <c r="A64" s="2" t="s">
        <v>173</v>
      </c>
      <c r="B64" s="2" t="s">
        <v>78</v>
      </c>
      <c r="C64" s="3" t="n">
        <v>46269.5659722222</v>
      </c>
      <c r="D64" s="2" t="s">
        <v>17</v>
      </c>
      <c r="E64" s="2" t="n">
        <v>10000</v>
      </c>
      <c r="F64" s="2" t="s">
        <v>18</v>
      </c>
      <c r="G64" s="2"/>
      <c r="H64" s="2" t="str">
        <f aca="false">VLOOKUP(B64,$N$2:$S$41,3,FALSE())</f>
        <v>Model-Z</v>
      </c>
      <c r="I64" s="2" t="str">
        <f aca="false">VLOOKUP(B64,$N$2:$S$41,2,FALSE())</f>
        <v>Екатеринбург, Ленина</v>
      </c>
      <c r="J64" s="2" t="n">
        <f aca="false">IF(F64="success",1,0)</f>
        <v>1</v>
      </c>
      <c r="K64" s="2" t="n">
        <f aca="false">VLOOKUP(H64,Lookup!$A$4:$B$6,2,FALSE())</f>
        <v>16</v>
      </c>
    </row>
    <row r="65" customFormat="false" ht="15" hidden="false" customHeight="false" outlineLevel="0" collapsed="false">
      <c r="A65" s="2" t="s">
        <v>174</v>
      </c>
      <c r="B65" s="2" t="s">
        <v>88</v>
      </c>
      <c r="C65" s="3" t="n">
        <v>46269.6083796296</v>
      </c>
      <c r="D65" s="2" t="s">
        <v>17</v>
      </c>
      <c r="E65" s="2" t="n">
        <v>500</v>
      </c>
      <c r="F65" s="2" t="s">
        <v>18</v>
      </c>
      <c r="G65" s="2"/>
      <c r="H65" s="2" t="str">
        <f aca="false">VLOOKUP(B65,$N$2:$S$41,3,FALSE())</f>
        <v>Model-Z</v>
      </c>
      <c r="I65" s="2" t="str">
        <f aca="false">VLOOKUP(B65,$N$2:$S$41,2,FALSE())</f>
        <v>Екатеринбург, Вайнера</v>
      </c>
      <c r="J65" s="2" t="n">
        <f aca="false">IF(F65="success",1,0)</f>
        <v>1</v>
      </c>
      <c r="K65" s="2" t="n">
        <f aca="false">VLOOKUP(H65,Lookup!$A$4:$B$6,2,FALSE())</f>
        <v>16</v>
      </c>
    </row>
    <row r="66" customFormat="false" ht="15" hidden="false" customHeight="false" outlineLevel="0" collapsed="false">
      <c r="A66" s="2" t="s">
        <v>175</v>
      </c>
      <c r="B66" s="2" t="s">
        <v>24</v>
      </c>
      <c r="C66" s="3" t="n">
        <v>46269.6312384259</v>
      </c>
      <c r="D66" s="2" t="s">
        <v>29</v>
      </c>
      <c r="E66" s="2" t="n">
        <v>0</v>
      </c>
      <c r="F66" s="2" t="s">
        <v>18</v>
      </c>
      <c r="G66" s="2"/>
      <c r="H66" s="2" t="str">
        <f aca="false">VLOOKUP(B66,$N$2:$S$41,3,FALSE())</f>
        <v>Model-Y</v>
      </c>
      <c r="I66" s="2" t="str">
        <f aca="false">VLOOKUP(B66,$N$2:$S$41,2,FALSE())</f>
        <v>Москва, Арбат</v>
      </c>
      <c r="J66" s="2" t="n">
        <f aca="false">IF(F66="success",1,0)</f>
        <v>1</v>
      </c>
      <c r="K66" s="2" t="n">
        <f aca="false">VLOOKUP(H66,Lookup!$A$4:$B$6,2,FALSE())</f>
        <v>14</v>
      </c>
    </row>
    <row r="67" customFormat="false" ht="15" hidden="false" customHeight="false" outlineLevel="0" collapsed="false">
      <c r="A67" s="2" t="s">
        <v>176</v>
      </c>
      <c r="B67" s="2" t="s">
        <v>125</v>
      </c>
      <c r="C67" s="3" t="n">
        <v>46269.7088541667</v>
      </c>
      <c r="D67" s="2" t="s">
        <v>65</v>
      </c>
      <c r="E67" s="2" t="n">
        <v>7000</v>
      </c>
      <c r="F67" s="2" t="s">
        <v>100</v>
      </c>
      <c r="G67" s="2"/>
      <c r="H67" s="2" t="str">
        <f aca="false">VLOOKUP(B67,$N$2:$S$41,3,FALSE())</f>
        <v>Model-X</v>
      </c>
      <c r="I67" s="2" t="str">
        <f aca="false">VLOOKUP(B67,$N$2:$S$41,2,FALSE())</f>
        <v>Ростов-на-Дону, Пушкинская</v>
      </c>
      <c r="J67" s="2" t="n">
        <f aca="false">IF(F67="success",1,0)</f>
        <v>0</v>
      </c>
      <c r="K67" s="2" t="n">
        <f aca="false">VLOOKUP(H67,Lookup!$A$4:$B$6,2,FALSE())</f>
        <v>18</v>
      </c>
    </row>
    <row r="68" customFormat="false" ht="15" hidden="false" customHeight="false" outlineLevel="0" collapsed="false">
      <c r="A68" s="2" t="s">
        <v>177</v>
      </c>
      <c r="B68" s="2" t="s">
        <v>35</v>
      </c>
      <c r="C68" s="3" t="n">
        <v>46269.7322800926</v>
      </c>
      <c r="D68" s="2" t="s">
        <v>17</v>
      </c>
      <c r="E68" s="2" t="n">
        <v>500</v>
      </c>
      <c r="F68" s="2" t="s">
        <v>18</v>
      </c>
      <c r="G68" s="2"/>
      <c r="H68" s="2" t="str">
        <f aca="false">VLOOKUP(B68,$N$2:$S$41,3,FALSE())</f>
        <v>Model-X</v>
      </c>
      <c r="I68" s="2" t="str">
        <f aca="false">VLOOKUP(B68,$N$2:$S$41,2,FALSE())</f>
        <v>Москва, Ленинградский пр-т</v>
      </c>
      <c r="J68" s="2" t="n">
        <f aca="false">IF(F68="success",1,0)</f>
        <v>1</v>
      </c>
      <c r="K68" s="2" t="n">
        <f aca="false">VLOOKUP(H68,Lookup!$A$4:$B$6,2,FALSE())</f>
        <v>18</v>
      </c>
    </row>
    <row r="69" customFormat="false" ht="15" hidden="false" customHeight="false" outlineLevel="0" collapsed="false">
      <c r="A69" s="2" t="s">
        <v>178</v>
      </c>
      <c r="B69" s="2" t="s">
        <v>69</v>
      </c>
      <c r="C69" s="3" t="n">
        <v>46269.7368518519</v>
      </c>
      <c r="D69" s="2" t="s">
        <v>17</v>
      </c>
      <c r="E69" s="2" t="n">
        <v>10000</v>
      </c>
      <c r="F69" s="2" t="s">
        <v>18</v>
      </c>
      <c r="G69" s="2"/>
      <c r="H69" s="2" t="str">
        <f aca="false">VLOOKUP(B69,$N$2:$S$41,3,FALSE())</f>
        <v>Model-X</v>
      </c>
      <c r="I69" s="2" t="str">
        <f aca="false">VLOOKUP(B69,$N$2:$S$41,2,FALSE())</f>
        <v>Казань, Пушкина</v>
      </c>
      <c r="J69" s="2" t="n">
        <f aca="false">IF(F69="success",1,0)</f>
        <v>1</v>
      </c>
      <c r="K69" s="2" t="n">
        <f aca="false">VLOOKUP(H69,Lookup!$A$4:$B$6,2,FALSE())</f>
        <v>18</v>
      </c>
    </row>
    <row r="70" customFormat="false" ht="15" hidden="false" customHeight="false" outlineLevel="0" collapsed="false">
      <c r="A70" s="2" t="s">
        <v>179</v>
      </c>
      <c r="B70" s="2" t="s">
        <v>54</v>
      </c>
      <c r="C70" s="3" t="n">
        <v>46269.7427777778</v>
      </c>
      <c r="D70" s="2" t="s">
        <v>17</v>
      </c>
      <c r="E70" s="2" t="n">
        <v>7000</v>
      </c>
      <c r="F70" s="2" t="s">
        <v>18</v>
      </c>
      <c r="G70" s="2"/>
      <c r="H70" s="2" t="str">
        <f aca="false">VLOOKUP(B70,$N$2:$S$41,3,FALSE())</f>
        <v>Model-Z</v>
      </c>
      <c r="I70" s="2" t="str">
        <f aca="false">VLOOKUP(B70,$N$2:$S$41,2,FALSE())</f>
        <v>Санкт-Петербург, Лиговский пр-т</v>
      </c>
      <c r="J70" s="2" t="n">
        <f aca="false">IF(F70="success",1,0)</f>
        <v>1</v>
      </c>
      <c r="K70" s="2" t="n">
        <f aca="false">VLOOKUP(H70,Lookup!$A$4:$B$6,2,FALSE())</f>
        <v>16</v>
      </c>
    </row>
    <row r="71" customFormat="false" ht="15" hidden="false" customHeight="false" outlineLevel="0" collapsed="false">
      <c r="A71" s="2" t="s">
        <v>180</v>
      </c>
      <c r="B71" s="2" t="s">
        <v>114</v>
      </c>
      <c r="C71" s="3" t="n">
        <v>46269.8174305556</v>
      </c>
      <c r="D71" s="2" t="s">
        <v>17</v>
      </c>
      <c r="E71" s="2" t="n">
        <v>2000</v>
      </c>
      <c r="F71" s="2" t="s">
        <v>18</v>
      </c>
      <c r="G71" s="2"/>
      <c r="H71" s="2" t="str">
        <f aca="false">VLOOKUP(B71,$N$2:$S$41,3,FALSE())</f>
        <v>Model-Z</v>
      </c>
      <c r="I71" s="2" t="str">
        <f aca="false">VLOOKUP(B71,$N$2:$S$41,2,FALSE())</f>
        <v>Самара, Куйбышева</v>
      </c>
      <c r="J71" s="2" t="n">
        <f aca="false">IF(F71="success",1,0)</f>
        <v>1</v>
      </c>
      <c r="K71" s="2" t="n">
        <f aca="false">VLOOKUP(H71,Lookup!$A$4:$B$6,2,FALSE())</f>
        <v>16</v>
      </c>
    </row>
    <row r="72" customFormat="false" ht="15" hidden="false" customHeight="false" outlineLevel="0" collapsed="false">
      <c r="A72" s="2" t="s">
        <v>181</v>
      </c>
      <c r="B72" s="2" t="s">
        <v>84</v>
      </c>
      <c r="C72" s="3" t="n">
        <v>46269.8259259259</v>
      </c>
      <c r="D72" s="2" t="s">
        <v>17</v>
      </c>
      <c r="E72" s="2" t="n">
        <v>10000</v>
      </c>
      <c r="F72" s="2" t="s">
        <v>18</v>
      </c>
      <c r="G72" s="2"/>
      <c r="H72" s="2" t="str">
        <f aca="false">VLOOKUP(B72,$N$2:$S$41,3,FALSE())</f>
        <v>Model-X</v>
      </c>
      <c r="I72" s="2" t="str">
        <f aca="false">VLOOKUP(B72,$N$2:$S$41,2,FALSE())</f>
        <v>Новосибирск, Красный пр-т</v>
      </c>
      <c r="J72" s="2" t="n">
        <f aca="false">IF(F72="success",1,0)</f>
        <v>1</v>
      </c>
      <c r="K72" s="2" t="n">
        <f aca="false">VLOOKUP(H72,Lookup!$A$4:$B$6,2,FALSE())</f>
        <v>18</v>
      </c>
    </row>
    <row r="73" customFormat="false" ht="15" hidden="false" customHeight="false" outlineLevel="0" collapsed="false">
      <c r="A73" s="2" t="s">
        <v>182</v>
      </c>
      <c r="B73" s="2" t="s">
        <v>47</v>
      </c>
      <c r="C73" s="3" t="n">
        <v>46269.8588310185</v>
      </c>
      <c r="D73" s="2" t="s">
        <v>17</v>
      </c>
      <c r="E73" s="2" t="n">
        <v>10000</v>
      </c>
      <c r="F73" s="2" t="s">
        <v>18</v>
      </c>
      <c r="G73" s="2"/>
      <c r="H73" s="2" t="str">
        <f aca="false">VLOOKUP(B73,$N$2:$S$41,3,FALSE())</f>
        <v>Model-X</v>
      </c>
      <c r="I73" s="2" t="str">
        <f aca="false">VLOOKUP(B73,$N$2:$S$41,2,FALSE())</f>
        <v>Санкт-Петербург, Невский пр-т</v>
      </c>
      <c r="J73" s="2" t="n">
        <f aca="false">IF(F73="success",1,0)</f>
        <v>1</v>
      </c>
      <c r="K73" s="2" t="n">
        <f aca="false">VLOOKUP(H73,Lookup!$A$4:$B$6,2,FALSE())</f>
        <v>18</v>
      </c>
    </row>
    <row r="74" customFormat="false" ht="15" hidden="false" customHeight="false" outlineLevel="0" collapsed="false">
      <c r="A74" s="2" t="s">
        <v>183</v>
      </c>
      <c r="B74" s="2" t="s">
        <v>59</v>
      </c>
      <c r="C74" s="3" t="n">
        <v>46269.9373611111</v>
      </c>
      <c r="D74" s="2" t="s">
        <v>17</v>
      </c>
      <c r="E74" s="2" t="n">
        <v>15000</v>
      </c>
      <c r="F74" s="2" t="s">
        <v>76</v>
      </c>
      <c r="G74" s="2" t="s">
        <v>160</v>
      </c>
      <c r="H74" s="2" t="str">
        <f aca="false">VLOOKUP(B74,$N$2:$S$41,3,FALSE())</f>
        <v>Model-X</v>
      </c>
      <c r="I74" s="2" t="str">
        <f aca="false">VLOOKUP(B74,$N$2:$S$41,2,FALSE())</f>
        <v>Санкт-Петербург, Большой пр-т</v>
      </c>
      <c r="J74" s="2" t="n">
        <f aca="false">IF(F74="success",1,0)</f>
        <v>0</v>
      </c>
      <c r="K74" s="2" t="n">
        <f aca="false">VLOOKUP(H74,Lookup!$A$4:$B$6,2,FALSE())</f>
        <v>18</v>
      </c>
    </row>
    <row r="75" customFormat="false" ht="15" hidden="false" customHeight="false" outlineLevel="0" collapsed="false">
      <c r="A75" s="2" t="s">
        <v>184</v>
      </c>
      <c r="B75" s="2" t="s">
        <v>139</v>
      </c>
      <c r="C75" s="3" t="n">
        <v>46269.94375</v>
      </c>
      <c r="D75" s="2" t="s">
        <v>65</v>
      </c>
      <c r="E75" s="2" t="n">
        <v>1500</v>
      </c>
      <c r="F75" s="2" t="s">
        <v>100</v>
      </c>
      <c r="G75" s="2"/>
      <c r="H75" s="2" t="str">
        <f aca="false">VLOOKUP(B75,$N$2:$S$41,3,FALSE())</f>
        <v>Model-X</v>
      </c>
      <c r="I75" s="2" t="str">
        <f aca="false">VLOOKUP(B75,$N$2:$S$41,2,FALSE())</f>
        <v>Воронеж, Революции</v>
      </c>
      <c r="J75" s="2" t="n">
        <f aca="false">IF(F75="success",1,0)</f>
        <v>0</v>
      </c>
      <c r="K75" s="2" t="n">
        <f aca="false">VLOOKUP(H75,Lookup!$A$4:$B$6,2,FALSE())</f>
        <v>18</v>
      </c>
    </row>
    <row r="76" customFormat="false" ht="15" hidden="false" customHeight="false" outlineLevel="0" collapsed="false">
      <c r="A76" s="2" t="s">
        <v>185</v>
      </c>
      <c r="B76" s="2" t="s">
        <v>16</v>
      </c>
      <c r="C76" s="3" t="n">
        <v>46269.9528240741</v>
      </c>
      <c r="D76" s="2" t="s">
        <v>17</v>
      </c>
      <c r="E76" s="2" t="n">
        <v>500</v>
      </c>
      <c r="F76" s="2" t="s">
        <v>18</v>
      </c>
      <c r="G76" s="2"/>
      <c r="H76" s="2" t="str">
        <f aca="false">VLOOKUP(B76,$N$2:$S$41,3,FALSE())</f>
        <v>Model-X</v>
      </c>
      <c r="I76" s="2" t="str">
        <f aca="false">VLOOKUP(B76,$N$2:$S$41,2,FALSE())</f>
        <v>Москва, Тверская</v>
      </c>
      <c r="J76" s="2" t="n">
        <f aca="false">IF(F76="success",1,0)</f>
        <v>1</v>
      </c>
      <c r="K76" s="2" t="n">
        <f aca="false">VLOOKUP(H76,Lookup!$A$4:$B$6,2,FALSE())</f>
        <v>18</v>
      </c>
    </row>
    <row r="77" customFormat="false" ht="15" hidden="false" customHeight="false" outlineLevel="0" collapsed="false">
      <c r="A77" s="2" t="s">
        <v>186</v>
      </c>
      <c r="B77" s="2" t="s">
        <v>130</v>
      </c>
      <c r="C77" s="3" t="n">
        <v>46269.9974652778</v>
      </c>
      <c r="D77" s="2" t="s">
        <v>29</v>
      </c>
      <c r="E77" s="2" t="n">
        <v>0</v>
      </c>
      <c r="F77" s="2" t="s">
        <v>18</v>
      </c>
      <c r="G77" s="2"/>
      <c r="H77" s="2" t="str">
        <f aca="false">VLOOKUP(B77,$N$2:$S$41,3,FALSE())</f>
        <v>Model-Z</v>
      </c>
      <c r="I77" s="2" t="str">
        <f aca="false">VLOOKUP(B77,$N$2:$S$41,2,FALSE())</f>
        <v>Краснодар, Северная</v>
      </c>
      <c r="J77" s="2" t="n">
        <f aca="false">IF(F77="success",1,0)</f>
        <v>1</v>
      </c>
      <c r="K77" s="2" t="n">
        <f aca="false">VLOOKUP(H77,Lookup!$A$4:$B$6,2,FALSE())</f>
        <v>16</v>
      </c>
    </row>
    <row r="78" customFormat="false" ht="15" hidden="false" customHeight="false" outlineLevel="0" collapsed="false">
      <c r="A78" s="2" t="s">
        <v>187</v>
      </c>
      <c r="B78" s="2" t="s">
        <v>39</v>
      </c>
      <c r="C78" s="3" t="n">
        <v>46270.1351157407</v>
      </c>
      <c r="D78" s="2" t="s">
        <v>46</v>
      </c>
      <c r="E78" s="2" t="n">
        <v>3000</v>
      </c>
      <c r="F78" s="2" t="s">
        <v>18</v>
      </c>
      <c r="G78" s="2"/>
      <c r="H78" s="2" t="str">
        <f aca="false">VLOOKUP(B78,$N$2:$S$41,3,FALSE())</f>
        <v>Model-Y</v>
      </c>
      <c r="I78" s="2" t="str">
        <f aca="false">VLOOKUP(B78,$N$2:$S$41,2,FALSE())</f>
        <v>Москва, Кутузовский пр-т</v>
      </c>
      <c r="J78" s="2" t="n">
        <f aca="false">IF(F78="success",1,0)</f>
        <v>1</v>
      </c>
      <c r="K78" s="2" t="n">
        <f aca="false">VLOOKUP(H78,Lookup!$A$4:$B$6,2,FALSE())</f>
        <v>14</v>
      </c>
    </row>
    <row r="79" customFormat="false" ht="15" hidden="false" customHeight="false" outlineLevel="0" collapsed="false">
      <c r="A79" s="2" t="s">
        <v>188</v>
      </c>
      <c r="B79" s="2" t="s">
        <v>103</v>
      </c>
      <c r="C79" s="3" t="n">
        <v>46270.1852083333</v>
      </c>
      <c r="D79" s="2" t="s">
        <v>17</v>
      </c>
      <c r="E79" s="2" t="n">
        <v>10000</v>
      </c>
      <c r="F79" s="2" t="s">
        <v>18</v>
      </c>
      <c r="G79" s="2"/>
      <c r="H79" s="2" t="str">
        <f aca="false">VLOOKUP(B79,$N$2:$S$41,3,FALSE())</f>
        <v>Model-Y</v>
      </c>
      <c r="I79" s="2" t="str">
        <f aca="false">VLOOKUP(B79,$N$2:$S$41,2,FALSE())</f>
        <v>Нижний Новгород, Большая Покровская</v>
      </c>
      <c r="J79" s="2" t="n">
        <f aca="false">IF(F79="success",1,0)</f>
        <v>1</v>
      </c>
      <c r="K79" s="2" t="n">
        <f aca="false">VLOOKUP(H79,Lookup!$A$4:$B$6,2,FALSE())</f>
        <v>14</v>
      </c>
    </row>
    <row r="80" customFormat="false" ht="15" hidden="false" customHeight="false" outlineLevel="0" collapsed="false">
      <c r="A80" s="2" t="s">
        <v>189</v>
      </c>
      <c r="B80" s="2" t="s">
        <v>111</v>
      </c>
      <c r="C80" s="3" t="n">
        <v>46270.2681134259</v>
      </c>
      <c r="D80" s="2" t="s">
        <v>17</v>
      </c>
      <c r="E80" s="2" t="n">
        <v>5000</v>
      </c>
      <c r="F80" s="2" t="s">
        <v>18</v>
      </c>
      <c r="G80" s="2"/>
      <c r="H80" s="2" t="str">
        <f aca="false">VLOOKUP(B80,$N$2:$S$41,3,FALSE())</f>
        <v>Model-X</v>
      </c>
      <c r="I80" s="2" t="str">
        <f aca="false">VLOOKUP(B80,$N$2:$S$41,2,FALSE())</f>
        <v>Самара, Ленинградская</v>
      </c>
      <c r="J80" s="2" t="n">
        <f aca="false">IF(F80="success",1,0)</f>
        <v>1</v>
      </c>
      <c r="K80" s="2" t="n">
        <f aca="false">VLOOKUP(H80,Lookup!$A$4:$B$6,2,FALSE())</f>
        <v>18</v>
      </c>
    </row>
    <row r="81" customFormat="false" ht="15" hidden="false" customHeight="false" outlineLevel="0" collapsed="false">
      <c r="A81" s="2" t="s">
        <v>190</v>
      </c>
      <c r="B81" s="2" t="s">
        <v>73</v>
      </c>
      <c r="C81" s="3" t="n">
        <v>46270.3714467593</v>
      </c>
      <c r="D81" s="2" t="s">
        <v>46</v>
      </c>
      <c r="E81" s="2" t="n">
        <v>7000</v>
      </c>
      <c r="F81" s="2" t="s">
        <v>18</v>
      </c>
      <c r="G81" s="2"/>
      <c r="H81" s="2" t="str">
        <f aca="false">VLOOKUP(B81,$N$2:$S$41,3,FALSE())</f>
        <v>Model-Y</v>
      </c>
      <c r="I81" s="2" t="str">
        <f aca="false">VLOOKUP(B81,$N$2:$S$41,2,FALSE())</f>
        <v>Казань, Чистопольская</v>
      </c>
      <c r="J81" s="2" t="n">
        <f aca="false">IF(F81="success",1,0)</f>
        <v>1</v>
      </c>
      <c r="K81" s="2" t="n">
        <f aca="false">VLOOKUP(H81,Lookup!$A$4:$B$6,2,FALSE())</f>
        <v>14</v>
      </c>
    </row>
    <row r="82" customFormat="false" ht="15" hidden="false" customHeight="false" outlineLevel="0" collapsed="false">
      <c r="A82" s="2" t="s">
        <v>191</v>
      </c>
      <c r="B82" s="2" t="s">
        <v>16</v>
      </c>
      <c r="C82" s="3" t="n">
        <v>46270.4233796296</v>
      </c>
      <c r="D82" s="2" t="s">
        <v>17</v>
      </c>
      <c r="E82" s="2" t="n">
        <v>10000</v>
      </c>
      <c r="F82" s="2" t="s">
        <v>18</v>
      </c>
      <c r="G82" s="2"/>
      <c r="H82" s="2" t="str">
        <f aca="false">VLOOKUP(B82,$N$2:$S$41,3,FALSE())</f>
        <v>Model-X</v>
      </c>
      <c r="I82" s="2" t="str">
        <f aca="false">VLOOKUP(B82,$N$2:$S$41,2,FALSE())</f>
        <v>Москва, Тверская</v>
      </c>
      <c r="J82" s="2" t="n">
        <f aca="false">IF(F82="success",1,0)</f>
        <v>1</v>
      </c>
      <c r="K82" s="2" t="n">
        <f aca="false">VLOOKUP(H82,Lookup!$A$4:$B$6,2,FALSE())</f>
        <v>18</v>
      </c>
    </row>
    <row r="83" customFormat="false" ht="15" hidden="false" customHeight="false" outlineLevel="0" collapsed="false">
      <c r="A83" s="2" t="s">
        <v>192</v>
      </c>
      <c r="B83" s="2" t="s">
        <v>97</v>
      </c>
      <c r="C83" s="3" t="n">
        <v>46270.4512847222</v>
      </c>
      <c r="D83" s="2" t="s">
        <v>65</v>
      </c>
      <c r="E83" s="2" t="n">
        <v>500</v>
      </c>
      <c r="F83" s="2" t="s">
        <v>18</v>
      </c>
      <c r="G83" s="2"/>
      <c r="H83" s="2" t="str">
        <f aca="false">VLOOKUP(B83,$N$2:$S$41,3,FALSE())</f>
        <v>Model-X</v>
      </c>
      <c r="I83" s="2" t="str">
        <f aca="false">VLOOKUP(B83,$N$2:$S$41,2,FALSE())</f>
        <v>Новосибирск, Гоголя</v>
      </c>
      <c r="J83" s="2" t="n">
        <f aca="false">IF(F83="success",1,0)</f>
        <v>1</v>
      </c>
      <c r="K83" s="2" t="n">
        <f aca="false">VLOOKUP(H83,Lookup!$A$4:$B$6,2,FALSE())</f>
        <v>18</v>
      </c>
    </row>
    <row r="84" customFormat="false" ht="15" hidden="false" customHeight="false" outlineLevel="0" collapsed="false">
      <c r="A84" s="2" t="s">
        <v>193</v>
      </c>
      <c r="B84" s="2" t="s">
        <v>106</v>
      </c>
      <c r="C84" s="3" t="n">
        <v>46270.486712963</v>
      </c>
      <c r="D84" s="2" t="s">
        <v>65</v>
      </c>
      <c r="E84" s="2" t="n">
        <v>500</v>
      </c>
      <c r="F84" s="2" t="s">
        <v>18</v>
      </c>
      <c r="G84" s="2"/>
      <c r="H84" s="2" t="str">
        <f aca="false">VLOOKUP(B84,$N$2:$S$41,3,FALSE())</f>
        <v>Model-Z</v>
      </c>
      <c r="I84" s="2" t="str">
        <f aca="false">VLOOKUP(B84,$N$2:$S$41,2,FALSE())</f>
        <v>Нижний Новгород, Рождественская</v>
      </c>
      <c r="J84" s="2" t="n">
        <f aca="false">IF(F84="success",1,0)</f>
        <v>1</v>
      </c>
      <c r="K84" s="2" t="n">
        <f aca="false">VLOOKUP(H84,Lookup!$A$4:$B$6,2,FALSE())</f>
        <v>16</v>
      </c>
    </row>
    <row r="85" customFormat="false" ht="15" hidden="false" customHeight="false" outlineLevel="0" collapsed="false">
      <c r="A85" s="2" t="s">
        <v>194</v>
      </c>
      <c r="B85" s="2" t="s">
        <v>96</v>
      </c>
      <c r="C85" s="3" t="n">
        <v>46270.6658796296</v>
      </c>
      <c r="D85" s="2" t="s">
        <v>65</v>
      </c>
      <c r="E85" s="2" t="n">
        <v>5000</v>
      </c>
      <c r="F85" s="2" t="s">
        <v>18</v>
      </c>
      <c r="G85" s="2"/>
      <c r="H85" s="2" t="str">
        <f aca="false">VLOOKUP(B85,$N$2:$S$41,3,FALSE())</f>
        <v>Model-X</v>
      </c>
      <c r="I85" s="2" t="str">
        <f aca="false">VLOOKUP(B85,$N$2:$S$41,2,FALSE())</f>
        <v>Нижний Новгород, Белинского</v>
      </c>
      <c r="J85" s="2" t="n">
        <f aca="false">IF(F85="success",1,0)</f>
        <v>1</v>
      </c>
      <c r="K85" s="2" t="n">
        <f aca="false">VLOOKUP(H85,Lookup!$A$4:$B$6,2,FALSE())</f>
        <v>18</v>
      </c>
    </row>
    <row r="86" customFormat="false" ht="15" hidden="false" customHeight="false" outlineLevel="0" collapsed="false">
      <c r="A86" s="2" t="s">
        <v>195</v>
      </c>
      <c r="B86" s="2" t="s">
        <v>139</v>
      </c>
      <c r="C86" s="3" t="n">
        <v>46270.7115162037</v>
      </c>
      <c r="D86" s="2" t="s">
        <v>17</v>
      </c>
      <c r="E86" s="2" t="n">
        <v>3000</v>
      </c>
      <c r="F86" s="2" t="s">
        <v>18</v>
      </c>
      <c r="G86" s="2"/>
      <c r="H86" s="2" t="str">
        <f aca="false">VLOOKUP(B86,$N$2:$S$41,3,FALSE())</f>
        <v>Model-X</v>
      </c>
      <c r="I86" s="2" t="str">
        <f aca="false">VLOOKUP(B86,$N$2:$S$41,2,FALSE())</f>
        <v>Воронеж, Революции</v>
      </c>
      <c r="J86" s="2" t="n">
        <f aca="false">IF(F86="success",1,0)</f>
        <v>1</v>
      </c>
      <c r="K86" s="2" t="n">
        <f aca="false">VLOOKUP(H86,Lookup!$A$4:$B$6,2,FALSE())</f>
        <v>18</v>
      </c>
    </row>
    <row r="87" customFormat="false" ht="15" hidden="false" customHeight="false" outlineLevel="0" collapsed="false">
      <c r="A87" s="2" t="s">
        <v>196</v>
      </c>
      <c r="B87" s="2" t="s">
        <v>42</v>
      </c>
      <c r="C87" s="3" t="n">
        <v>46270.7593287037</v>
      </c>
      <c r="D87" s="2" t="s">
        <v>29</v>
      </c>
      <c r="E87" s="2" t="n">
        <v>0</v>
      </c>
      <c r="F87" s="2" t="s">
        <v>18</v>
      </c>
      <c r="G87" s="2"/>
      <c r="H87" s="2" t="str">
        <f aca="false">VLOOKUP(B87,$N$2:$S$41,3,FALSE())</f>
        <v>Model-X</v>
      </c>
      <c r="I87" s="2" t="str">
        <f aca="false">VLOOKUP(B87,$N$2:$S$41,2,FALSE())</f>
        <v>Краснодар, Гимназическая</v>
      </c>
      <c r="J87" s="2" t="n">
        <f aca="false">IF(F87="success",1,0)</f>
        <v>1</v>
      </c>
      <c r="K87" s="2" t="n">
        <f aca="false">VLOOKUP(H87,Lookup!$A$4:$B$6,2,FALSE())</f>
        <v>18</v>
      </c>
    </row>
    <row r="88" customFormat="false" ht="15" hidden="false" customHeight="false" outlineLevel="0" collapsed="false">
      <c r="A88" s="2" t="s">
        <v>197</v>
      </c>
      <c r="B88" s="2" t="s">
        <v>28</v>
      </c>
      <c r="C88" s="3" t="n">
        <v>46270.7891087963</v>
      </c>
      <c r="D88" s="2" t="s">
        <v>17</v>
      </c>
      <c r="E88" s="2" t="n">
        <v>7000</v>
      </c>
      <c r="F88" s="2" t="s">
        <v>18</v>
      </c>
      <c r="G88" s="2"/>
      <c r="H88" s="2" t="str">
        <f aca="false">VLOOKUP(B88,$N$2:$S$41,3,FALSE())</f>
        <v>Model-X</v>
      </c>
      <c r="I88" s="2" t="str">
        <f aca="false">VLOOKUP(B88,$N$2:$S$41,2,FALSE())</f>
        <v>Новосибирск, Дуси Ковальчук</v>
      </c>
      <c r="J88" s="2" t="n">
        <f aca="false">IF(F88="success",1,0)</f>
        <v>1</v>
      </c>
      <c r="K88" s="2" t="n">
        <f aca="false">VLOOKUP(H88,Lookup!$A$4:$B$6,2,FALSE())</f>
        <v>18</v>
      </c>
    </row>
    <row r="89" customFormat="false" ht="15" hidden="false" customHeight="false" outlineLevel="0" collapsed="false">
      <c r="A89" s="2" t="s">
        <v>198</v>
      </c>
      <c r="B89" s="2" t="s">
        <v>72</v>
      </c>
      <c r="C89" s="3" t="n">
        <v>46270.7938657407</v>
      </c>
      <c r="D89" s="2" t="s">
        <v>29</v>
      </c>
      <c r="E89" s="2" t="n">
        <v>0</v>
      </c>
      <c r="F89" s="2" t="s">
        <v>18</v>
      </c>
      <c r="G89" s="2"/>
      <c r="H89" s="2" t="str">
        <f aca="false">VLOOKUP(B89,$N$2:$S$41,3,FALSE())</f>
        <v>Model-Y</v>
      </c>
      <c r="I89" s="2" t="str">
        <f aca="false">VLOOKUP(B89,$N$2:$S$41,2,FALSE())</f>
        <v>Ростов-на-Дону, Садовая</v>
      </c>
      <c r="J89" s="2" t="n">
        <f aca="false">IF(F89="success",1,0)</f>
        <v>1</v>
      </c>
      <c r="K89" s="2" t="n">
        <f aca="false">VLOOKUP(H89,Lookup!$A$4:$B$6,2,FALSE())</f>
        <v>14</v>
      </c>
    </row>
    <row r="90" customFormat="false" ht="15" hidden="false" customHeight="false" outlineLevel="0" collapsed="false">
      <c r="A90" s="2" t="s">
        <v>199</v>
      </c>
      <c r="B90" s="2" t="s">
        <v>62</v>
      </c>
      <c r="C90" s="3" t="n">
        <v>46270.8207175926</v>
      </c>
      <c r="D90" s="2" t="s">
        <v>17</v>
      </c>
      <c r="E90" s="2" t="n">
        <v>10000</v>
      </c>
      <c r="F90" s="2" t="s">
        <v>18</v>
      </c>
      <c r="G90" s="2"/>
      <c r="H90" s="2" t="str">
        <f aca="false">VLOOKUP(B90,$N$2:$S$41,3,FALSE())</f>
        <v>Model-X</v>
      </c>
      <c r="I90" s="2" t="str">
        <f aca="false">VLOOKUP(B90,$N$2:$S$41,2,FALSE())</f>
        <v>Казань, Баумана</v>
      </c>
      <c r="J90" s="2" t="n">
        <f aca="false">IF(F90="success",1,0)</f>
        <v>1</v>
      </c>
      <c r="K90" s="2" t="n">
        <f aca="false">VLOOKUP(H90,Lookup!$A$4:$B$6,2,FALSE())</f>
        <v>18</v>
      </c>
    </row>
    <row r="91" customFormat="false" ht="15" hidden="false" customHeight="false" outlineLevel="0" collapsed="false">
      <c r="A91" s="2" t="s">
        <v>200</v>
      </c>
      <c r="B91" s="2" t="s">
        <v>73</v>
      </c>
      <c r="C91" s="3" t="n">
        <v>46270.8303125</v>
      </c>
      <c r="D91" s="2" t="s">
        <v>17</v>
      </c>
      <c r="E91" s="2" t="n">
        <v>1500</v>
      </c>
      <c r="F91" s="2" t="s">
        <v>18</v>
      </c>
      <c r="G91" s="2"/>
      <c r="H91" s="2" t="str">
        <f aca="false">VLOOKUP(B91,$N$2:$S$41,3,FALSE())</f>
        <v>Model-Y</v>
      </c>
      <c r="I91" s="2" t="str">
        <f aca="false">VLOOKUP(B91,$N$2:$S$41,2,FALSE())</f>
        <v>Казань, Чистопольская</v>
      </c>
      <c r="J91" s="2" t="n">
        <f aca="false">IF(F91="success",1,0)</f>
        <v>1</v>
      </c>
      <c r="K91" s="2" t="n">
        <f aca="false">VLOOKUP(H91,Lookup!$A$4:$B$6,2,FALSE())</f>
        <v>14</v>
      </c>
    </row>
    <row r="92" customFormat="false" ht="15" hidden="false" customHeight="false" outlineLevel="0" collapsed="false">
      <c r="A92" s="2" t="s">
        <v>201</v>
      </c>
      <c r="B92" s="2" t="s">
        <v>23</v>
      </c>
      <c r="C92" s="3" t="n">
        <v>46270.8445833333</v>
      </c>
      <c r="D92" s="2" t="s">
        <v>65</v>
      </c>
      <c r="E92" s="2" t="n">
        <v>1500</v>
      </c>
      <c r="F92" s="2" t="s">
        <v>76</v>
      </c>
      <c r="G92" s="2" t="s">
        <v>160</v>
      </c>
      <c r="H92" s="2" t="str">
        <f aca="false">VLOOKUP(B92,$N$2:$S$41,3,FALSE())</f>
        <v>Model-X</v>
      </c>
      <c r="I92" s="2" t="str">
        <f aca="false">VLOOKUP(B92,$N$2:$S$41,2,FALSE())</f>
        <v>Воронеж, Кольцовская</v>
      </c>
      <c r="J92" s="2" t="n">
        <f aca="false">IF(F92="success",1,0)</f>
        <v>0</v>
      </c>
      <c r="K92" s="2" t="n">
        <f aca="false">VLOOKUP(H92,Lookup!$A$4:$B$6,2,FALSE())</f>
        <v>18</v>
      </c>
    </row>
    <row r="93" customFormat="false" ht="15" hidden="false" customHeight="false" outlineLevel="0" collapsed="false">
      <c r="A93" s="2" t="s">
        <v>202</v>
      </c>
      <c r="B93" s="2" t="s">
        <v>97</v>
      </c>
      <c r="C93" s="3" t="n">
        <v>46270.8736458333</v>
      </c>
      <c r="D93" s="2" t="s">
        <v>17</v>
      </c>
      <c r="E93" s="2" t="n">
        <v>1000</v>
      </c>
      <c r="F93" s="2" t="s">
        <v>18</v>
      </c>
      <c r="G93" s="2"/>
      <c r="H93" s="2" t="str">
        <f aca="false">VLOOKUP(B93,$N$2:$S$41,3,FALSE())</f>
        <v>Model-X</v>
      </c>
      <c r="I93" s="2" t="str">
        <f aca="false">VLOOKUP(B93,$N$2:$S$41,2,FALSE())</f>
        <v>Новосибирск, Гоголя</v>
      </c>
      <c r="J93" s="2" t="n">
        <f aca="false">IF(F93="success",1,0)</f>
        <v>1</v>
      </c>
      <c r="K93" s="2" t="n">
        <f aca="false">VLOOKUP(H93,Lookup!$A$4:$B$6,2,FALSE())</f>
        <v>18</v>
      </c>
    </row>
    <row r="94" customFormat="false" ht="15" hidden="false" customHeight="false" outlineLevel="0" collapsed="false">
      <c r="A94" s="2" t="s">
        <v>203</v>
      </c>
      <c r="B94" s="2" t="s">
        <v>114</v>
      </c>
      <c r="C94" s="3" t="n">
        <v>46270.9479282407</v>
      </c>
      <c r="D94" s="2" t="s">
        <v>17</v>
      </c>
      <c r="E94" s="2" t="n">
        <v>15000</v>
      </c>
      <c r="F94" s="2" t="s">
        <v>18</v>
      </c>
      <c r="G94" s="2"/>
      <c r="H94" s="2" t="str">
        <f aca="false">VLOOKUP(B94,$N$2:$S$41,3,FALSE())</f>
        <v>Model-Z</v>
      </c>
      <c r="I94" s="2" t="str">
        <f aca="false">VLOOKUP(B94,$N$2:$S$41,2,FALSE())</f>
        <v>Самара, Куйбышева</v>
      </c>
      <c r="J94" s="2" t="n">
        <f aca="false">IF(F94="success",1,0)</f>
        <v>1</v>
      </c>
      <c r="K94" s="2" t="n">
        <f aca="false">VLOOKUP(H94,Lookup!$A$4:$B$6,2,FALSE())</f>
        <v>16</v>
      </c>
    </row>
    <row r="95" customFormat="false" ht="15" hidden="false" customHeight="false" outlineLevel="0" collapsed="false">
      <c r="A95" s="2" t="s">
        <v>204</v>
      </c>
      <c r="B95" s="2" t="s">
        <v>24</v>
      </c>
      <c r="C95" s="3" t="n">
        <v>46271.0286226852</v>
      </c>
      <c r="D95" s="2" t="s">
        <v>65</v>
      </c>
      <c r="E95" s="2" t="n">
        <v>5000</v>
      </c>
      <c r="F95" s="2" t="s">
        <v>76</v>
      </c>
      <c r="G95" s="2" t="s">
        <v>117</v>
      </c>
      <c r="H95" s="2" t="str">
        <f aca="false">VLOOKUP(B95,$N$2:$S$41,3,FALSE())</f>
        <v>Model-Y</v>
      </c>
      <c r="I95" s="2" t="str">
        <f aca="false">VLOOKUP(B95,$N$2:$S$41,2,FALSE())</f>
        <v>Москва, Арбат</v>
      </c>
      <c r="J95" s="2" t="n">
        <f aca="false">IF(F95="success",1,0)</f>
        <v>0</v>
      </c>
      <c r="K95" s="2" t="n">
        <f aca="false">VLOOKUP(H95,Lookup!$A$4:$B$6,2,FALSE())</f>
        <v>14</v>
      </c>
    </row>
    <row r="96" customFormat="false" ht="15" hidden="false" customHeight="false" outlineLevel="0" collapsed="false">
      <c r="A96" s="2" t="s">
        <v>205</v>
      </c>
      <c r="B96" s="2" t="s">
        <v>78</v>
      </c>
      <c r="C96" s="3" t="n">
        <v>46271.3207638889</v>
      </c>
      <c r="D96" s="2" t="s">
        <v>65</v>
      </c>
      <c r="E96" s="2" t="n">
        <v>1000</v>
      </c>
      <c r="F96" s="2" t="s">
        <v>100</v>
      </c>
      <c r="G96" s="2"/>
      <c r="H96" s="2" t="str">
        <f aca="false">VLOOKUP(B96,$N$2:$S$41,3,FALSE())</f>
        <v>Model-Z</v>
      </c>
      <c r="I96" s="2" t="str">
        <f aca="false">VLOOKUP(B96,$N$2:$S$41,2,FALSE())</f>
        <v>Екатеринбург, Ленина</v>
      </c>
      <c r="J96" s="2" t="n">
        <f aca="false">IF(F96="success",1,0)</f>
        <v>0</v>
      </c>
      <c r="K96" s="2" t="n">
        <f aca="false">VLOOKUP(H96,Lookup!$A$4:$B$6,2,FALSE())</f>
        <v>16</v>
      </c>
    </row>
    <row r="97" customFormat="false" ht="15" hidden="false" customHeight="false" outlineLevel="0" collapsed="false">
      <c r="A97" s="2" t="s">
        <v>206</v>
      </c>
      <c r="B97" s="2" t="s">
        <v>125</v>
      </c>
      <c r="C97" s="3" t="n">
        <v>46271.3339583333</v>
      </c>
      <c r="D97" s="2" t="s">
        <v>29</v>
      </c>
      <c r="E97" s="2" t="n">
        <v>0</v>
      </c>
      <c r="F97" s="2" t="s">
        <v>18</v>
      </c>
      <c r="G97" s="2"/>
      <c r="H97" s="2" t="str">
        <f aca="false">VLOOKUP(B97,$N$2:$S$41,3,FALSE())</f>
        <v>Model-X</v>
      </c>
      <c r="I97" s="2" t="str">
        <f aca="false">VLOOKUP(B97,$N$2:$S$41,2,FALSE())</f>
        <v>Ростов-на-Дону, Пушкинская</v>
      </c>
      <c r="J97" s="2" t="n">
        <f aca="false">IF(F97="success",1,0)</f>
        <v>1</v>
      </c>
      <c r="K97" s="2" t="n">
        <f aca="false">VLOOKUP(H97,Lookup!$A$4:$B$6,2,FALSE())</f>
        <v>18</v>
      </c>
    </row>
    <row r="98" customFormat="false" ht="15" hidden="false" customHeight="false" outlineLevel="0" collapsed="false">
      <c r="A98" s="2" t="s">
        <v>207</v>
      </c>
      <c r="B98" s="2" t="s">
        <v>103</v>
      </c>
      <c r="C98" s="3" t="n">
        <v>46271.3470138889</v>
      </c>
      <c r="D98" s="2" t="s">
        <v>65</v>
      </c>
      <c r="E98" s="2" t="n">
        <v>3000</v>
      </c>
      <c r="F98" s="2" t="s">
        <v>18</v>
      </c>
      <c r="G98" s="2"/>
      <c r="H98" s="2" t="str">
        <f aca="false">VLOOKUP(B98,$N$2:$S$41,3,FALSE())</f>
        <v>Model-Y</v>
      </c>
      <c r="I98" s="2" t="str">
        <f aca="false">VLOOKUP(B98,$N$2:$S$41,2,FALSE())</f>
        <v>Нижний Новгород, Большая Покровская</v>
      </c>
      <c r="J98" s="2" t="n">
        <f aca="false">IF(F98="success",1,0)</f>
        <v>1</v>
      </c>
      <c r="K98" s="2" t="n">
        <f aca="false">VLOOKUP(H98,Lookup!$A$4:$B$6,2,FALSE())</f>
        <v>14</v>
      </c>
    </row>
    <row r="99" customFormat="false" ht="15" hidden="false" customHeight="false" outlineLevel="0" collapsed="false">
      <c r="A99" s="2" t="s">
        <v>208</v>
      </c>
      <c r="B99" s="2" t="s">
        <v>93</v>
      </c>
      <c r="C99" s="3" t="n">
        <v>46271.4738310185</v>
      </c>
      <c r="D99" s="2" t="s">
        <v>29</v>
      </c>
      <c r="E99" s="2" t="n">
        <v>0</v>
      </c>
      <c r="F99" s="2" t="s">
        <v>18</v>
      </c>
      <c r="G99" s="2"/>
      <c r="H99" s="2" t="str">
        <f aca="false">VLOOKUP(B99,$N$2:$S$41,3,FALSE())</f>
        <v>Model-Y</v>
      </c>
      <c r="I99" s="2" t="str">
        <f aca="false">VLOOKUP(B99,$N$2:$S$41,2,FALSE())</f>
        <v>Новосибирск, Ленина</v>
      </c>
      <c r="J99" s="2" t="n">
        <f aca="false">IF(F99="success",1,0)</f>
        <v>1</v>
      </c>
      <c r="K99" s="2" t="n">
        <f aca="false">VLOOKUP(H99,Lookup!$A$4:$B$6,2,FALSE())</f>
        <v>14</v>
      </c>
    </row>
    <row r="100" customFormat="false" ht="15" hidden="false" customHeight="false" outlineLevel="0" collapsed="false">
      <c r="A100" s="2" t="s">
        <v>209</v>
      </c>
      <c r="B100" s="2" t="s">
        <v>35</v>
      </c>
      <c r="C100" s="3" t="n">
        <v>46271.5132638889</v>
      </c>
      <c r="D100" s="2" t="s">
        <v>29</v>
      </c>
      <c r="E100" s="2" t="n">
        <v>0</v>
      </c>
      <c r="F100" s="2" t="s">
        <v>18</v>
      </c>
      <c r="G100" s="2"/>
      <c r="H100" s="2" t="str">
        <f aca="false">VLOOKUP(B100,$N$2:$S$41,3,FALSE())</f>
        <v>Model-X</v>
      </c>
      <c r="I100" s="2" t="str">
        <f aca="false">VLOOKUP(B100,$N$2:$S$41,2,FALSE())</f>
        <v>Москва, Ленинградский пр-т</v>
      </c>
      <c r="J100" s="2" t="n">
        <f aca="false">IF(F100="success",1,0)</f>
        <v>1</v>
      </c>
      <c r="K100" s="2" t="n">
        <f aca="false">VLOOKUP(H100,Lookup!$A$4:$B$6,2,FALSE())</f>
        <v>18</v>
      </c>
    </row>
    <row r="101" customFormat="false" ht="15" hidden="false" customHeight="false" outlineLevel="0" collapsed="false">
      <c r="A101" s="2" t="s">
        <v>210</v>
      </c>
      <c r="B101" s="2" t="s">
        <v>16</v>
      </c>
      <c r="C101" s="3" t="n">
        <v>46271.6595023148</v>
      </c>
      <c r="D101" s="2" t="s">
        <v>17</v>
      </c>
      <c r="E101" s="2" t="n">
        <v>1000</v>
      </c>
      <c r="F101" s="2" t="s">
        <v>18</v>
      </c>
      <c r="G101" s="2"/>
      <c r="H101" s="2" t="str">
        <f aca="false">VLOOKUP(B101,$N$2:$S$41,3,FALSE())</f>
        <v>Model-X</v>
      </c>
      <c r="I101" s="2" t="str">
        <f aca="false">VLOOKUP(B101,$N$2:$S$41,2,FALSE())</f>
        <v>Москва, Тверская</v>
      </c>
      <c r="J101" s="2" t="n">
        <f aca="false">IF(F101="success",1,0)</f>
        <v>1</v>
      </c>
      <c r="K101" s="2" t="n">
        <f aca="false">VLOOKUP(H101,Lookup!$A$4:$B$6,2,FALSE())</f>
        <v>18</v>
      </c>
    </row>
    <row r="102" customFormat="false" ht="15" hidden="false" customHeight="false" outlineLevel="0" collapsed="false">
      <c r="A102" s="2" t="s">
        <v>211</v>
      </c>
      <c r="B102" s="2" t="s">
        <v>38</v>
      </c>
      <c r="C102" s="3" t="n">
        <v>46271.713912037</v>
      </c>
      <c r="D102" s="2" t="s">
        <v>17</v>
      </c>
      <c r="E102" s="2" t="n">
        <v>3000</v>
      </c>
      <c r="F102" s="2" t="s">
        <v>18</v>
      </c>
      <c r="G102" s="2"/>
      <c r="H102" s="2" t="str">
        <f aca="false">VLOOKUP(B102,$N$2:$S$41,3,FALSE())</f>
        <v>Model-Z</v>
      </c>
      <c r="I102" s="2" t="str">
        <f aca="false">VLOOKUP(B102,$N$2:$S$41,2,FALSE())</f>
        <v>Казань, Кремлёвская</v>
      </c>
      <c r="J102" s="2" t="n">
        <f aca="false">IF(F102="success",1,0)</f>
        <v>1</v>
      </c>
      <c r="K102" s="2" t="n">
        <f aca="false">VLOOKUP(H102,Lookup!$A$4:$B$6,2,FALSE())</f>
        <v>16</v>
      </c>
    </row>
    <row r="103" customFormat="false" ht="15" hidden="false" customHeight="false" outlineLevel="0" collapsed="false">
      <c r="A103" s="2" t="s">
        <v>212</v>
      </c>
      <c r="B103" s="2" t="s">
        <v>93</v>
      </c>
      <c r="C103" s="3" t="n">
        <v>46271.736875</v>
      </c>
      <c r="D103" s="2" t="s">
        <v>46</v>
      </c>
      <c r="E103" s="2" t="n">
        <v>1500</v>
      </c>
      <c r="F103" s="2" t="s">
        <v>18</v>
      </c>
      <c r="G103" s="2"/>
      <c r="H103" s="2" t="str">
        <f aca="false">VLOOKUP(B103,$N$2:$S$41,3,FALSE())</f>
        <v>Model-Y</v>
      </c>
      <c r="I103" s="2" t="str">
        <f aca="false">VLOOKUP(B103,$N$2:$S$41,2,FALSE())</f>
        <v>Новосибирск, Ленина</v>
      </c>
      <c r="J103" s="2" t="n">
        <f aca="false">IF(F103="success",1,0)</f>
        <v>1</v>
      </c>
      <c r="K103" s="2" t="n">
        <f aca="false">VLOOKUP(H103,Lookup!$A$4:$B$6,2,FALSE())</f>
        <v>14</v>
      </c>
    </row>
    <row r="104" customFormat="false" ht="15" hidden="false" customHeight="false" outlineLevel="0" collapsed="false">
      <c r="A104" s="2" t="s">
        <v>213</v>
      </c>
      <c r="B104" s="2" t="s">
        <v>23</v>
      </c>
      <c r="C104" s="3" t="n">
        <v>46271.8202893519</v>
      </c>
      <c r="D104" s="2" t="s">
        <v>17</v>
      </c>
      <c r="E104" s="2" t="n">
        <v>15000</v>
      </c>
      <c r="F104" s="2" t="s">
        <v>18</v>
      </c>
      <c r="G104" s="2"/>
      <c r="H104" s="2" t="str">
        <f aca="false">VLOOKUP(B104,$N$2:$S$41,3,FALSE())</f>
        <v>Model-X</v>
      </c>
      <c r="I104" s="2" t="str">
        <f aca="false">VLOOKUP(B104,$N$2:$S$41,2,FALSE())</f>
        <v>Воронеж, Кольцовская</v>
      </c>
      <c r="J104" s="2" t="n">
        <f aca="false">IF(F104="success",1,0)</f>
        <v>1</v>
      </c>
      <c r="K104" s="2" t="n">
        <f aca="false">VLOOKUP(H104,Lookup!$A$4:$B$6,2,FALSE())</f>
        <v>18</v>
      </c>
    </row>
    <row r="105" customFormat="false" ht="15" hidden="false" customHeight="false" outlineLevel="0" collapsed="false">
      <c r="A105" s="2" t="s">
        <v>214</v>
      </c>
      <c r="B105" s="2" t="s">
        <v>23</v>
      </c>
      <c r="C105" s="3" t="n">
        <v>46271.9102314815</v>
      </c>
      <c r="D105" s="2" t="s">
        <v>17</v>
      </c>
      <c r="E105" s="2" t="n">
        <v>1000</v>
      </c>
      <c r="F105" s="2" t="s">
        <v>18</v>
      </c>
      <c r="G105" s="2"/>
      <c r="H105" s="2" t="str">
        <f aca="false">VLOOKUP(B105,$N$2:$S$41,3,FALSE())</f>
        <v>Model-X</v>
      </c>
      <c r="I105" s="2" t="str">
        <f aca="false">VLOOKUP(B105,$N$2:$S$41,2,FALSE())</f>
        <v>Воронеж, Кольцовская</v>
      </c>
      <c r="J105" s="2" t="n">
        <f aca="false">IF(F105="success",1,0)</f>
        <v>1</v>
      </c>
      <c r="K105" s="2" t="n">
        <f aca="false">VLOOKUP(H105,Lookup!$A$4:$B$6,2,FALSE())</f>
        <v>18</v>
      </c>
    </row>
    <row r="106" customFormat="false" ht="15" hidden="false" customHeight="false" outlineLevel="0" collapsed="false">
      <c r="A106" s="2" t="s">
        <v>215</v>
      </c>
      <c r="B106" s="2" t="s">
        <v>125</v>
      </c>
      <c r="C106" s="3" t="n">
        <v>46271.9525</v>
      </c>
      <c r="D106" s="2" t="s">
        <v>65</v>
      </c>
      <c r="E106" s="2" t="n">
        <v>2000</v>
      </c>
      <c r="F106" s="2" t="s">
        <v>100</v>
      </c>
      <c r="G106" s="2"/>
      <c r="H106" s="2" t="str">
        <f aca="false">VLOOKUP(B106,$N$2:$S$41,3,FALSE())</f>
        <v>Model-X</v>
      </c>
      <c r="I106" s="2" t="str">
        <f aca="false">VLOOKUP(B106,$N$2:$S$41,2,FALSE())</f>
        <v>Ростов-на-Дону, Пушкинская</v>
      </c>
      <c r="J106" s="2" t="n">
        <f aca="false">IF(F106="success",1,0)</f>
        <v>0</v>
      </c>
      <c r="K106" s="2" t="n">
        <f aca="false">VLOOKUP(H106,Lookup!$A$4:$B$6,2,FALSE())</f>
        <v>18</v>
      </c>
    </row>
    <row r="107" customFormat="false" ht="15" hidden="false" customHeight="false" outlineLevel="0" collapsed="false">
      <c r="A107" s="2" t="s">
        <v>216</v>
      </c>
      <c r="B107" s="2" t="s">
        <v>72</v>
      </c>
      <c r="C107" s="3" t="n">
        <v>46272.2994444444</v>
      </c>
      <c r="D107" s="2" t="s">
        <v>17</v>
      </c>
      <c r="E107" s="2" t="n">
        <v>3000</v>
      </c>
      <c r="F107" s="2" t="s">
        <v>18</v>
      </c>
      <c r="G107" s="2"/>
      <c r="H107" s="2" t="str">
        <f aca="false">VLOOKUP(B107,$N$2:$S$41,3,FALSE())</f>
        <v>Model-Y</v>
      </c>
      <c r="I107" s="2" t="str">
        <f aca="false">VLOOKUP(B107,$N$2:$S$41,2,FALSE())</f>
        <v>Ростов-на-Дону, Садовая</v>
      </c>
      <c r="J107" s="2" t="n">
        <f aca="false">IF(F107="success",1,0)</f>
        <v>1</v>
      </c>
      <c r="K107" s="2" t="n">
        <f aca="false">VLOOKUP(H107,Lookup!$A$4:$B$6,2,FALSE())</f>
        <v>14</v>
      </c>
    </row>
    <row r="108" customFormat="false" ht="15" hidden="false" customHeight="false" outlineLevel="0" collapsed="false">
      <c r="A108" s="2" t="s">
        <v>217</v>
      </c>
      <c r="B108" s="2" t="s">
        <v>72</v>
      </c>
      <c r="C108" s="3" t="n">
        <v>46272.3015740741</v>
      </c>
      <c r="D108" s="2" t="s">
        <v>29</v>
      </c>
      <c r="E108" s="2" t="n">
        <v>0</v>
      </c>
      <c r="F108" s="2" t="s">
        <v>18</v>
      </c>
      <c r="G108" s="2"/>
      <c r="H108" s="2" t="str">
        <f aca="false">VLOOKUP(B108,$N$2:$S$41,3,FALSE())</f>
        <v>Model-Y</v>
      </c>
      <c r="I108" s="2" t="str">
        <f aca="false">VLOOKUP(B108,$N$2:$S$41,2,FALSE())</f>
        <v>Ростов-на-Дону, Садовая</v>
      </c>
      <c r="J108" s="2" t="n">
        <f aca="false">IF(F108="success",1,0)</f>
        <v>1</v>
      </c>
      <c r="K108" s="2" t="n">
        <f aca="false">VLOOKUP(H108,Lookup!$A$4:$B$6,2,FALSE())</f>
        <v>14</v>
      </c>
    </row>
    <row r="109" customFormat="false" ht="15" hidden="false" customHeight="false" outlineLevel="0" collapsed="false">
      <c r="A109" s="2" t="s">
        <v>218</v>
      </c>
      <c r="B109" s="2" t="s">
        <v>28</v>
      </c>
      <c r="C109" s="3" t="n">
        <v>46272.319224537</v>
      </c>
      <c r="D109" s="2" t="s">
        <v>17</v>
      </c>
      <c r="E109" s="2" t="n">
        <v>2000</v>
      </c>
      <c r="F109" s="2" t="s">
        <v>18</v>
      </c>
      <c r="G109" s="2"/>
      <c r="H109" s="2" t="str">
        <f aca="false">VLOOKUP(B109,$N$2:$S$41,3,FALSE())</f>
        <v>Model-X</v>
      </c>
      <c r="I109" s="2" t="str">
        <f aca="false">VLOOKUP(B109,$N$2:$S$41,2,FALSE())</f>
        <v>Новосибирск, Дуси Ковальчук</v>
      </c>
      <c r="J109" s="2" t="n">
        <f aca="false">IF(F109="success",1,0)</f>
        <v>1</v>
      </c>
      <c r="K109" s="2" t="n">
        <f aca="false">VLOOKUP(H109,Lookup!$A$4:$B$6,2,FALSE())</f>
        <v>18</v>
      </c>
    </row>
    <row r="110" customFormat="false" ht="15" hidden="false" customHeight="false" outlineLevel="0" collapsed="false">
      <c r="A110" s="2" t="s">
        <v>219</v>
      </c>
      <c r="B110" s="2" t="s">
        <v>96</v>
      </c>
      <c r="C110" s="3" t="n">
        <v>46272.3707060185</v>
      </c>
      <c r="D110" s="2" t="s">
        <v>46</v>
      </c>
      <c r="E110" s="2" t="n">
        <v>2000</v>
      </c>
      <c r="F110" s="2" t="s">
        <v>18</v>
      </c>
      <c r="G110" s="2"/>
      <c r="H110" s="2" t="str">
        <f aca="false">VLOOKUP(B110,$N$2:$S$41,3,FALSE())</f>
        <v>Model-X</v>
      </c>
      <c r="I110" s="2" t="str">
        <f aca="false">VLOOKUP(B110,$N$2:$S$41,2,FALSE())</f>
        <v>Нижний Новгород, Белинского</v>
      </c>
      <c r="J110" s="2" t="n">
        <f aca="false">IF(F110="success",1,0)</f>
        <v>1</v>
      </c>
      <c r="K110" s="2" t="n">
        <f aca="false">VLOOKUP(H110,Lookup!$A$4:$B$6,2,FALSE())</f>
        <v>18</v>
      </c>
    </row>
    <row r="111" customFormat="false" ht="15" hidden="false" customHeight="false" outlineLevel="0" collapsed="false">
      <c r="A111" s="2" t="s">
        <v>220</v>
      </c>
      <c r="B111" s="2" t="s">
        <v>69</v>
      </c>
      <c r="C111" s="3" t="n">
        <v>46272.3779976852</v>
      </c>
      <c r="D111" s="2" t="s">
        <v>65</v>
      </c>
      <c r="E111" s="2" t="n">
        <v>7000</v>
      </c>
      <c r="F111" s="2" t="s">
        <v>18</v>
      </c>
      <c r="G111" s="2"/>
      <c r="H111" s="2" t="str">
        <f aca="false">VLOOKUP(B111,$N$2:$S$41,3,FALSE())</f>
        <v>Model-X</v>
      </c>
      <c r="I111" s="2" t="str">
        <f aca="false">VLOOKUP(B111,$N$2:$S$41,2,FALSE())</f>
        <v>Казань, Пушкина</v>
      </c>
      <c r="J111" s="2" t="n">
        <f aca="false">IF(F111="success",1,0)</f>
        <v>1</v>
      </c>
      <c r="K111" s="2" t="n">
        <f aca="false">VLOOKUP(H111,Lookup!$A$4:$B$6,2,FALSE())</f>
        <v>18</v>
      </c>
    </row>
    <row r="112" customFormat="false" ht="15" hidden="false" customHeight="false" outlineLevel="0" collapsed="false">
      <c r="A112" s="2" t="s">
        <v>221</v>
      </c>
      <c r="B112" s="2" t="s">
        <v>114</v>
      </c>
      <c r="C112" s="3" t="n">
        <v>46272.3856712963</v>
      </c>
      <c r="D112" s="2" t="s">
        <v>17</v>
      </c>
      <c r="E112" s="2" t="n">
        <v>1500</v>
      </c>
      <c r="F112" s="2" t="s">
        <v>18</v>
      </c>
      <c r="G112" s="2"/>
      <c r="H112" s="2" t="str">
        <f aca="false">VLOOKUP(B112,$N$2:$S$41,3,FALSE())</f>
        <v>Model-Z</v>
      </c>
      <c r="I112" s="2" t="str">
        <f aca="false">VLOOKUP(B112,$N$2:$S$41,2,FALSE())</f>
        <v>Самара, Куйбышева</v>
      </c>
      <c r="J112" s="2" t="n">
        <f aca="false">IF(F112="success",1,0)</f>
        <v>1</v>
      </c>
      <c r="K112" s="2" t="n">
        <f aca="false">VLOOKUP(H112,Lookup!$A$4:$B$6,2,FALSE())</f>
        <v>16</v>
      </c>
    </row>
    <row r="113" customFormat="false" ht="15" hidden="false" customHeight="false" outlineLevel="0" collapsed="false">
      <c r="A113" s="2" t="s">
        <v>222</v>
      </c>
      <c r="B113" s="2" t="s">
        <v>84</v>
      </c>
      <c r="C113" s="3" t="n">
        <v>46272.3977662037</v>
      </c>
      <c r="D113" s="2" t="s">
        <v>17</v>
      </c>
      <c r="E113" s="2" t="n">
        <v>500</v>
      </c>
      <c r="F113" s="2" t="s">
        <v>100</v>
      </c>
      <c r="G113" s="2"/>
      <c r="H113" s="2" t="str">
        <f aca="false">VLOOKUP(B113,$N$2:$S$41,3,FALSE())</f>
        <v>Model-X</v>
      </c>
      <c r="I113" s="2" t="str">
        <f aca="false">VLOOKUP(B113,$N$2:$S$41,2,FALSE())</f>
        <v>Новосибирск, Красный пр-т</v>
      </c>
      <c r="J113" s="2" t="n">
        <f aca="false">IF(F113="success",1,0)</f>
        <v>0</v>
      </c>
      <c r="K113" s="2" t="n">
        <f aca="false">VLOOKUP(H113,Lookup!$A$4:$B$6,2,FALSE())</f>
        <v>18</v>
      </c>
    </row>
    <row r="114" customFormat="false" ht="15" hidden="false" customHeight="false" outlineLevel="0" collapsed="false">
      <c r="A114" s="2" t="s">
        <v>223</v>
      </c>
      <c r="B114" s="2" t="s">
        <v>24</v>
      </c>
      <c r="C114" s="3" t="n">
        <v>46272.4497106482</v>
      </c>
      <c r="D114" s="2" t="s">
        <v>65</v>
      </c>
      <c r="E114" s="2" t="n">
        <v>2000</v>
      </c>
      <c r="F114" s="2" t="s">
        <v>18</v>
      </c>
      <c r="G114" s="2"/>
      <c r="H114" s="2" t="str">
        <f aca="false">VLOOKUP(B114,$N$2:$S$41,3,FALSE())</f>
        <v>Model-Y</v>
      </c>
      <c r="I114" s="2" t="str">
        <f aca="false">VLOOKUP(B114,$N$2:$S$41,2,FALSE())</f>
        <v>Москва, Арбат</v>
      </c>
      <c r="J114" s="2" t="n">
        <f aca="false">IF(F114="success",1,0)</f>
        <v>1</v>
      </c>
      <c r="K114" s="2" t="n">
        <f aca="false">VLOOKUP(H114,Lookup!$A$4:$B$6,2,FALSE())</f>
        <v>14</v>
      </c>
    </row>
    <row r="115" customFormat="false" ht="15" hidden="false" customHeight="false" outlineLevel="0" collapsed="false">
      <c r="A115" s="2" t="s">
        <v>224</v>
      </c>
      <c r="B115" s="2" t="s">
        <v>62</v>
      </c>
      <c r="C115" s="3" t="n">
        <v>46272.4654050926</v>
      </c>
      <c r="D115" s="2" t="s">
        <v>17</v>
      </c>
      <c r="E115" s="2" t="n">
        <v>1500</v>
      </c>
      <c r="F115" s="2" t="s">
        <v>18</v>
      </c>
      <c r="G115" s="2"/>
      <c r="H115" s="2" t="str">
        <f aca="false">VLOOKUP(B115,$N$2:$S$41,3,FALSE())</f>
        <v>Model-X</v>
      </c>
      <c r="I115" s="2" t="str">
        <f aca="false">VLOOKUP(B115,$N$2:$S$41,2,FALSE())</f>
        <v>Казань, Баумана</v>
      </c>
      <c r="J115" s="2" t="n">
        <f aca="false">IF(F115="success",1,0)</f>
        <v>1</v>
      </c>
      <c r="K115" s="2" t="n">
        <f aca="false">VLOOKUP(H115,Lookup!$A$4:$B$6,2,FALSE())</f>
        <v>18</v>
      </c>
    </row>
    <row r="116" customFormat="false" ht="15" hidden="false" customHeight="false" outlineLevel="0" collapsed="false">
      <c r="A116" s="2" t="s">
        <v>225</v>
      </c>
      <c r="B116" s="2" t="s">
        <v>85</v>
      </c>
      <c r="C116" s="3" t="n">
        <v>46272.4702777778</v>
      </c>
      <c r="D116" s="2" t="s">
        <v>46</v>
      </c>
      <c r="E116" s="2" t="n">
        <v>10000</v>
      </c>
      <c r="F116" s="2" t="s">
        <v>18</v>
      </c>
      <c r="G116" s="2"/>
      <c r="H116" s="2" t="str">
        <f aca="false">VLOOKUP(B116,$N$2:$S$41,3,FALSE())</f>
        <v>Model-Y</v>
      </c>
      <c r="I116" s="2" t="str">
        <f aca="false">VLOOKUP(B116,$N$2:$S$41,2,FALSE())</f>
        <v>Екатеринбург, 8 Марта</v>
      </c>
      <c r="J116" s="2" t="n">
        <f aca="false">IF(F116="success",1,0)</f>
        <v>1</v>
      </c>
      <c r="K116" s="2" t="n">
        <f aca="false">VLOOKUP(H116,Lookup!$A$4:$B$6,2,FALSE())</f>
        <v>14</v>
      </c>
    </row>
    <row r="117" customFormat="false" ht="15" hidden="false" customHeight="false" outlineLevel="0" collapsed="false">
      <c r="A117" s="2" t="s">
        <v>226</v>
      </c>
      <c r="B117" s="2" t="s">
        <v>28</v>
      </c>
      <c r="C117" s="3" t="n">
        <v>46272.4873032407</v>
      </c>
      <c r="D117" s="2" t="s">
        <v>17</v>
      </c>
      <c r="E117" s="2" t="n">
        <v>2000</v>
      </c>
      <c r="F117" s="2" t="s">
        <v>18</v>
      </c>
      <c r="G117" s="2"/>
      <c r="H117" s="2" t="str">
        <f aca="false">VLOOKUP(B117,$N$2:$S$41,3,FALSE())</f>
        <v>Model-X</v>
      </c>
      <c r="I117" s="2" t="str">
        <f aca="false">VLOOKUP(B117,$N$2:$S$41,2,FALSE())</f>
        <v>Новосибирск, Дуси Ковальчук</v>
      </c>
      <c r="J117" s="2" t="n">
        <f aca="false">IF(F117="success",1,0)</f>
        <v>1</v>
      </c>
      <c r="K117" s="2" t="n">
        <f aca="false">VLOOKUP(H117,Lookup!$A$4:$B$6,2,FALSE())</f>
        <v>18</v>
      </c>
    </row>
    <row r="118" customFormat="false" ht="15" hidden="false" customHeight="false" outlineLevel="0" collapsed="false">
      <c r="A118" s="2" t="s">
        <v>227</v>
      </c>
      <c r="B118" s="2" t="s">
        <v>125</v>
      </c>
      <c r="C118" s="3" t="n">
        <v>46272.514837963</v>
      </c>
      <c r="D118" s="2" t="s">
        <v>46</v>
      </c>
      <c r="E118" s="2" t="n">
        <v>15000</v>
      </c>
      <c r="F118" s="2" t="s">
        <v>18</v>
      </c>
      <c r="G118" s="2"/>
      <c r="H118" s="2" t="str">
        <f aca="false">VLOOKUP(B118,$N$2:$S$41,3,FALSE())</f>
        <v>Model-X</v>
      </c>
      <c r="I118" s="2" t="str">
        <f aca="false">VLOOKUP(B118,$N$2:$S$41,2,FALSE())</f>
        <v>Ростов-на-Дону, Пушкинская</v>
      </c>
      <c r="J118" s="2" t="n">
        <f aca="false">IF(F118="success",1,0)</f>
        <v>1</v>
      </c>
      <c r="K118" s="2" t="n">
        <f aca="false">VLOOKUP(H118,Lookup!$A$4:$B$6,2,FALSE())</f>
        <v>18</v>
      </c>
    </row>
    <row r="119" customFormat="false" ht="15" hidden="false" customHeight="false" outlineLevel="0" collapsed="false">
      <c r="A119" s="2" t="s">
        <v>228</v>
      </c>
      <c r="B119" s="2" t="s">
        <v>111</v>
      </c>
      <c r="C119" s="3" t="n">
        <v>46272.5790625</v>
      </c>
      <c r="D119" s="2" t="s">
        <v>17</v>
      </c>
      <c r="E119" s="2" t="n">
        <v>1500</v>
      </c>
      <c r="F119" s="2" t="s">
        <v>76</v>
      </c>
      <c r="G119" s="2" t="s">
        <v>77</v>
      </c>
      <c r="H119" s="2" t="str">
        <f aca="false">VLOOKUP(B119,$N$2:$S$41,3,FALSE())</f>
        <v>Model-X</v>
      </c>
      <c r="I119" s="2" t="str">
        <f aca="false">VLOOKUP(B119,$N$2:$S$41,2,FALSE())</f>
        <v>Самара, Ленинградская</v>
      </c>
      <c r="J119" s="2" t="n">
        <f aca="false">IF(F119="success",1,0)</f>
        <v>0</v>
      </c>
      <c r="K119" s="2" t="n">
        <f aca="false">VLOOKUP(H119,Lookup!$A$4:$B$6,2,FALSE())</f>
        <v>18</v>
      </c>
    </row>
    <row r="120" customFormat="false" ht="15" hidden="false" customHeight="false" outlineLevel="0" collapsed="false">
      <c r="A120" s="2" t="s">
        <v>229</v>
      </c>
      <c r="B120" s="2" t="s">
        <v>42</v>
      </c>
      <c r="C120" s="3" t="n">
        <v>46272.5877083333</v>
      </c>
      <c r="D120" s="2" t="s">
        <v>29</v>
      </c>
      <c r="E120" s="2" t="n">
        <v>0</v>
      </c>
      <c r="F120" s="2" t="s">
        <v>18</v>
      </c>
      <c r="G120" s="2"/>
      <c r="H120" s="2" t="str">
        <f aca="false">VLOOKUP(B120,$N$2:$S$41,3,FALSE())</f>
        <v>Model-X</v>
      </c>
      <c r="I120" s="2" t="str">
        <f aca="false">VLOOKUP(B120,$N$2:$S$41,2,FALSE())</f>
        <v>Краснодар, Гимназическая</v>
      </c>
      <c r="J120" s="2" t="n">
        <f aca="false">IF(F120="success",1,0)</f>
        <v>1</v>
      </c>
      <c r="K120" s="2" t="n">
        <f aca="false">VLOOKUP(H120,Lookup!$A$4:$B$6,2,FALSE())</f>
        <v>18</v>
      </c>
    </row>
    <row r="121" customFormat="false" ht="15" hidden="false" customHeight="false" outlineLevel="0" collapsed="false">
      <c r="A121" s="2" t="s">
        <v>230</v>
      </c>
      <c r="B121" s="2" t="s">
        <v>97</v>
      </c>
      <c r="C121" s="3" t="n">
        <v>46272.5966087963</v>
      </c>
      <c r="D121" s="2" t="s">
        <v>17</v>
      </c>
      <c r="E121" s="2" t="n">
        <v>5000</v>
      </c>
      <c r="F121" s="2" t="s">
        <v>100</v>
      </c>
      <c r="G121" s="2"/>
      <c r="H121" s="2" t="str">
        <f aca="false">VLOOKUP(B121,$N$2:$S$41,3,FALSE())</f>
        <v>Model-X</v>
      </c>
      <c r="I121" s="2" t="str">
        <f aca="false">VLOOKUP(B121,$N$2:$S$41,2,FALSE())</f>
        <v>Новосибирск, Гоголя</v>
      </c>
      <c r="J121" s="2" t="n">
        <f aca="false">IF(F121="success",1,0)</f>
        <v>0</v>
      </c>
      <c r="K121" s="2" t="n">
        <f aca="false">VLOOKUP(H121,Lookup!$A$4:$B$6,2,FALSE())</f>
        <v>18</v>
      </c>
    </row>
    <row r="122" customFormat="false" ht="15" hidden="false" customHeight="false" outlineLevel="0" collapsed="false">
      <c r="A122" s="2" t="s">
        <v>231</v>
      </c>
      <c r="B122" s="2" t="s">
        <v>72</v>
      </c>
      <c r="C122" s="3" t="n">
        <v>46272.5996643519</v>
      </c>
      <c r="D122" s="2" t="s">
        <v>46</v>
      </c>
      <c r="E122" s="2" t="n">
        <v>2000</v>
      </c>
      <c r="F122" s="2" t="s">
        <v>18</v>
      </c>
      <c r="G122" s="2"/>
      <c r="H122" s="2" t="str">
        <f aca="false">VLOOKUP(B122,$N$2:$S$41,3,FALSE())</f>
        <v>Model-Y</v>
      </c>
      <c r="I122" s="2" t="str">
        <f aca="false">VLOOKUP(B122,$N$2:$S$41,2,FALSE())</f>
        <v>Ростов-на-Дону, Садовая</v>
      </c>
      <c r="J122" s="2" t="n">
        <f aca="false">IF(F122="success",1,0)</f>
        <v>1</v>
      </c>
      <c r="K122" s="2" t="n">
        <f aca="false">VLOOKUP(H122,Lookup!$A$4:$B$6,2,FALSE())</f>
        <v>14</v>
      </c>
    </row>
    <row r="123" customFormat="false" ht="15" hidden="false" customHeight="false" outlineLevel="0" collapsed="false">
      <c r="A123" s="2" t="s">
        <v>232</v>
      </c>
      <c r="B123" s="2" t="s">
        <v>106</v>
      </c>
      <c r="C123" s="3" t="n">
        <v>46272.6627314815</v>
      </c>
      <c r="D123" s="2" t="s">
        <v>17</v>
      </c>
      <c r="E123" s="2" t="n">
        <v>5000</v>
      </c>
      <c r="F123" s="2" t="s">
        <v>18</v>
      </c>
      <c r="G123" s="2"/>
      <c r="H123" s="2" t="str">
        <f aca="false">VLOOKUP(B123,$N$2:$S$41,3,FALSE())</f>
        <v>Model-Z</v>
      </c>
      <c r="I123" s="2" t="str">
        <f aca="false">VLOOKUP(B123,$N$2:$S$41,2,FALSE())</f>
        <v>Нижний Новгород, Рождественская</v>
      </c>
      <c r="J123" s="2" t="n">
        <f aca="false">IF(F123="success",1,0)</f>
        <v>1</v>
      </c>
      <c r="K123" s="2" t="n">
        <f aca="false">VLOOKUP(H123,Lookup!$A$4:$B$6,2,FALSE())</f>
        <v>16</v>
      </c>
    </row>
    <row r="124" customFormat="false" ht="15" hidden="false" customHeight="false" outlineLevel="0" collapsed="false">
      <c r="A124" s="2" t="s">
        <v>233</v>
      </c>
      <c r="B124" s="2" t="s">
        <v>59</v>
      </c>
      <c r="C124" s="3" t="n">
        <v>46272.6806365741</v>
      </c>
      <c r="D124" s="2" t="s">
        <v>17</v>
      </c>
      <c r="E124" s="2" t="n">
        <v>500</v>
      </c>
      <c r="F124" s="2" t="s">
        <v>18</v>
      </c>
      <c r="G124" s="2"/>
      <c r="H124" s="2" t="str">
        <f aca="false">VLOOKUP(B124,$N$2:$S$41,3,FALSE())</f>
        <v>Model-X</v>
      </c>
      <c r="I124" s="2" t="str">
        <f aca="false">VLOOKUP(B124,$N$2:$S$41,2,FALSE())</f>
        <v>Санкт-Петербург, Большой пр-т</v>
      </c>
      <c r="J124" s="2" t="n">
        <f aca="false">IF(F124="success",1,0)</f>
        <v>1</v>
      </c>
      <c r="K124" s="2" t="n">
        <f aca="false">VLOOKUP(H124,Lookup!$A$4:$B$6,2,FALSE())</f>
        <v>18</v>
      </c>
    </row>
    <row r="125" customFormat="false" ht="15" hidden="false" customHeight="false" outlineLevel="0" collapsed="false">
      <c r="A125" s="2" t="s">
        <v>234</v>
      </c>
      <c r="B125" s="2" t="s">
        <v>54</v>
      </c>
      <c r="C125" s="3" t="n">
        <v>46272.7071875</v>
      </c>
      <c r="D125" s="2" t="s">
        <v>46</v>
      </c>
      <c r="E125" s="2" t="n">
        <v>1000</v>
      </c>
      <c r="F125" s="2" t="s">
        <v>18</v>
      </c>
      <c r="G125" s="2"/>
      <c r="H125" s="2" t="str">
        <f aca="false">VLOOKUP(B125,$N$2:$S$41,3,FALSE())</f>
        <v>Model-Z</v>
      </c>
      <c r="I125" s="2" t="str">
        <f aca="false">VLOOKUP(B125,$N$2:$S$41,2,FALSE())</f>
        <v>Санкт-Петербург, Лиговский пр-т</v>
      </c>
      <c r="J125" s="2" t="n">
        <f aca="false">IF(F125="success",1,0)</f>
        <v>1</v>
      </c>
      <c r="K125" s="2" t="n">
        <f aca="false">VLOOKUP(H125,Lookup!$A$4:$B$6,2,FALSE())</f>
        <v>16</v>
      </c>
    </row>
    <row r="126" customFormat="false" ht="15" hidden="false" customHeight="false" outlineLevel="0" collapsed="false">
      <c r="A126" s="2" t="s">
        <v>235</v>
      </c>
      <c r="B126" s="2" t="s">
        <v>58</v>
      </c>
      <c r="C126" s="3" t="n">
        <v>46272.7312037037</v>
      </c>
      <c r="D126" s="2" t="s">
        <v>17</v>
      </c>
      <c r="E126" s="2" t="n">
        <v>1000</v>
      </c>
      <c r="F126" s="2" t="s">
        <v>18</v>
      </c>
      <c r="G126" s="2"/>
      <c r="H126" s="2" t="str">
        <f aca="false">VLOOKUP(B126,$N$2:$S$41,3,FALSE())</f>
        <v>Model-Y</v>
      </c>
      <c r="I126" s="2" t="str">
        <f aca="false">VLOOKUP(B126,$N$2:$S$41,2,FALSE())</f>
        <v>Краснодар, Красная</v>
      </c>
      <c r="J126" s="2" t="n">
        <f aca="false">IF(F126="success",1,0)</f>
        <v>1</v>
      </c>
      <c r="K126" s="2" t="n">
        <f aca="false">VLOOKUP(H126,Lookup!$A$4:$B$6,2,FALSE())</f>
        <v>14</v>
      </c>
    </row>
    <row r="127" customFormat="false" ht="15" hidden="false" customHeight="false" outlineLevel="0" collapsed="false">
      <c r="A127" s="2" t="s">
        <v>236</v>
      </c>
      <c r="B127" s="2" t="s">
        <v>28</v>
      </c>
      <c r="C127" s="3" t="n">
        <v>46272.8072569444</v>
      </c>
      <c r="D127" s="2" t="s">
        <v>46</v>
      </c>
      <c r="E127" s="2" t="n">
        <v>1500</v>
      </c>
      <c r="F127" s="2" t="s">
        <v>18</v>
      </c>
      <c r="G127" s="2"/>
      <c r="H127" s="2" t="str">
        <f aca="false">VLOOKUP(B127,$N$2:$S$41,3,FALSE())</f>
        <v>Model-X</v>
      </c>
      <c r="I127" s="2" t="str">
        <f aca="false">VLOOKUP(B127,$N$2:$S$41,2,FALSE())</f>
        <v>Новосибирск, Дуси Ковальчук</v>
      </c>
      <c r="J127" s="2" t="n">
        <f aca="false">IF(F127="success",1,0)</f>
        <v>1</v>
      </c>
      <c r="K127" s="2" t="n">
        <f aca="false">VLOOKUP(H127,Lookup!$A$4:$B$6,2,FALSE())</f>
        <v>18</v>
      </c>
    </row>
    <row r="128" customFormat="false" ht="15" hidden="false" customHeight="false" outlineLevel="0" collapsed="false">
      <c r="A128" s="2" t="s">
        <v>237</v>
      </c>
      <c r="B128" s="2" t="s">
        <v>97</v>
      </c>
      <c r="C128" s="3" t="n">
        <v>46272.8163425926</v>
      </c>
      <c r="D128" s="2" t="s">
        <v>65</v>
      </c>
      <c r="E128" s="2" t="n">
        <v>3000</v>
      </c>
      <c r="F128" s="2" t="s">
        <v>18</v>
      </c>
      <c r="G128" s="2"/>
      <c r="H128" s="2" t="str">
        <f aca="false">VLOOKUP(B128,$N$2:$S$41,3,FALSE())</f>
        <v>Model-X</v>
      </c>
      <c r="I128" s="2" t="str">
        <f aca="false">VLOOKUP(B128,$N$2:$S$41,2,FALSE())</f>
        <v>Новосибирск, Гоголя</v>
      </c>
      <c r="J128" s="2" t="n">
        <f aca="false">IF(F128="success",1,0)</f>
        <v>1</v>
      </c>
      <c r="K128" s="2" t="n">
        <f aca="false">VLOOKUP(H128,Lookup!$A$4:$B$6,2,FALSE())</f>
        <v>18</v>
      </c>
    </row>
    <row r="129" customFormat="false" ht="15" hidden="false" customHeight="false" outlineLevel="0" collapsed="false">
      <c r="A129" s="2" t="s">
        <v>238</v>
      </c>
      <c r="B129" s="2" t="s">
        <v>139</v>
      </c>
      <c r="C129" s="3" t="n">
        <v>46272.8545601852</v>
      </c>
      <c r="D129" s="2" t="s">
        <v>17</v>
      </c>
      <c r="E129" s="2" t="n">
        <v>7000</v>
      </c>
      <c r="F129" s="2" t="s">
        <v>18</v>
      </c>
      <c r="G129" s="2"/>
      <c r="H129" s="2" t="str">
        <f aca="false">VLOOKUP(B129,$N$2:$S$41,3,FALSE())</f>
        <v>Model-X</v>
      </c>
      <c r="I129" s="2" t="str">
        <f aca="false">VLOOKUP(B129,$N$2:$S$41,2,FALSE())</f>
        <v>Воронеж, Революции</v>
      </c>
      <c r="J129" s="2" t="n">
        <f aca="false">IF(F129="success",1,0)</f>
        <v>1</v>
      </c>
      <c r="K129" s="2" t="n">
        <f aca="false">VLOOKUP(H129,Lookup!$A$4:$B$6,2,FALSE())</f>
        <v>18</v>
      </c>
    </row>
    <row r="130" customFormat="false" ht="15" hidden="false" customHeight="false" outlineLevel="0" collapsed="false">
      <c r="A130" s="2" t="s">
        <v>239</v>
      </c>
      <c r="B130" s="2" t="s">
        <v>54</v>
      </c>
      <c r="C130" s="3" t="n">
        <v>46272.8712384259</v>
      </c>
      <c r="D130" s="2" t="s">
        <v>17</v>
      </c>
      <c r="E130" s="2" t="n">
        <v>3000</v>
      </c>
      <c r="F130" s="2" t="s">
        <v>100</v>
      </c>
      <c r="G130" s="2"/>
      <c r="H130" s="2" t="str">
        <f aca="false">VLOOKUP(B130,$N$2:$S$41,3,FALSE())</f>
        <v>Model-Z</v>
      </c>
      <c r="I130" s="2" t="str">
        <f aca="false">VLOOKUP(B130,$N$2:$S$41,2,FALSE())</f>
        <v>Санкт-Петербург, Лиговский пр-т</v>
      </c>
      <c r="J130" s="2" t="n">
        <f aca="false">IF(F130="success",1,0)</f>
        <v>0</v>
      </c>
      <c r="K130" s="2" t="n">
        <f aca="false">VLOOKUP(H130,Lookup!$A$4:$B$6,2,FALSE())</f>
        <v>16</v>
      </c>
    </row>
    <row r="131" customFormat="false" ht="15" hidden="false" customHeight="false" outlineLevel="0" collapsed="false">
      <c r="A131" s="2" t="s">
        <v>240</v>
      </c>
      <c r="B131" s="2" t="s">
        <v>69</v>
      </c>
      <c r="C131" s="3" t="n">
        <v>46272.8832986111</v>
      </c>
      <c r="D131" s="2" t="s">
        <v>46</v>
      </c>
      <c r="E131" s="2" t="n">
        <v>1000</v>
      </c>
      <c r="F131" s="2" t="s">
        <v>18</v>
      </c>
      <c r="G131" s="2"/>
      <c r="H131" s="2" t="str">
        <f aca="false">VLOOKUP(B131,$N$2:$S$41,3,FALSE())</f>
        <v>Model-X</v>
      </c>
      <c r="I131" s="2" t="str">
        <f aca="false">VLOOKUP(B131,$N$2:$S$41,2,FALSE())</f>
        <v>Казань, Пушкина</v>
      </c>
      <c r="J131" s="2" t="n">
        <f aca="false">IF(F131="success",1,0)</f>
        <v>1</v>
      </c>
      <c r="K131" s="2" t="n">
        <f aca="false">VLOOKUP(H131,Lookup!$A$4:$B$6,2,FALSE())</f>
        <v>18</v>
      </c>
    </row>
    <row r="132" customFormat="false" ht="15" hidden="false" customHeight="false" outlineLevel="0" collapsed="false">
      <c r="A132" s="2" t="s">
        <v>241</v>
      </c>
      <c r="B132" s="2" t="s">
        <v>69</v>
      </c>
      <c r="C132" s="3" t="n">
        <v>46272.9176273148</v>
      </c>
      <c r="D132" s="2" t="s">
        <v>17</v>
      </c>
      <c r="E132" s="2" t="n">
        <v>1000</v>
      </c>
      <c r="F132" s="2" t="s">
        <v>76</v>
      </c>
      <c r="G132" s="2" t="s">
        <v>77</v>
      </c>
      <c r="H132" s="2" t="str">
        <f aca="false">VLOOKUP(B132,$N$2:$S$41,3,FALSE())</f>
        <v>Model-X</v>
      </c>
      <c r="I132" s="2" t="str">
        <f aca="false">VLOOKUP(B132,$N$2:$S$41,2,FALSE())</f>
        <v>Казань, Пушкина</v>
      </c>
      <c r="J132" s="2" t="n">
        <f aca="false">IF(F132="success",1,0)</f>
        <v>0</v>
      </c>
      <c r="K132" s="2" t="n">
        <f aca="false">VLOOKUP(H132,Lookup!$A$4:$B$6,2,FALSE())</f>
        <v>18</v>
      </c>
    </row>
    <row r="133" customFormat="false" ht="15" hidden="false" customHeight="false" outlineLevel="0" collapsed="false">
      <c r="A133" s="2" t="s">
        <v>242</v>
      </c>
      <c r="B133" s="2" t="s">
        <v>53</v>
      </c>
      <c r="C133" s="3" t="n">
        <v>46272.9325</v>
      </c>
      <c r="D133" s="2" t="s">
        <v>17</v>
      </c>
      <c r="E133" s="2" t="n">
        <v>500</v>
      </c>
      <c r="F133" s="2" t="s">
        <v>18</v>
      </c>
      <c r="G133" s="2"/>
      <c r="H133" s="2" t="str">
        <f aca="false">VLOOKUP(B133,$N$2:$S$41,3,FALSE())</f>
        <v>Model-Z</v>
      </c>
      <c r="I133" s="2" t="str">
        <f aca="false">VLOOKUP(B133,$N$2:$S$41,2,FALSE())</f>
        <v>Ростов-на-Дону, Будённовский</v>
      </c>
      <c r="J133" s="2" t="n">
        <f aca="false">IF(F133="success",1,0)</f>
        <v>1</v>
      </c>
      <c r="K133" s="2" t="n">
        <f aca="false">VLOOKUP(H133,Lookup!$A$4:$B$6,2,FALSE())</f>
        <v>16</v>
      </c>
    </row>
    <row r="134" customFormat="false" ht="15" hidden="false" customHeight="false" outlineLevel="0" collapsed="false">
      <c r="A134" s="2" t="s">
        <v>243</v>
      </c>
      <c r="B134" s="2" t="s">
        <v>16</v>
      </c>
      <c r="C134" s="3" t="n">
        <v>46273.318287037</v>
      </c>
      <c r="D134" s="2" t="s">
        <v>29</v>
      </c>
      <c r="E134" s="2" t="n">
        <v>0</v>
      </c>
      <c r="F134" s="2" t="s">
        <v>76</v>
      </c>
      <c r="G134" s="2" t="s">
        <v>160</v>
      </c>
      <c r="H134" s="2" t="str">
        <f aca="false">VLOOKUP(B134,$N$2:$S$41,3,FALSE())</f>
        <v>Model-X</v>
      </c>
      <c r="I134" s="2" t="str">
        <f aca="false">VLOOKUP(B134,$N$2:$S$41,2,FALSE())</f>
        <v>Москва, Тверская</v>
      </c>
      <c r="J134" s="2" t="n">
        <f aca="false">IF(F134="success",1,0)</f>
        <v>0</v>
      </c>
      <c r="K134" s="2" t="n">
        <f aca="false">VLOOKUP(H134,Lookup!$A$4:$B$6,2,FALSE())</f>
        <v>18</v>
      </c>
    </row>
    <row r="135" customFormat="false" ht="15" hidden="false" customHeight="false" outlineLevel="0" collapsed="false">
      <c r="A135" s="2" t="s">
        <v>244</v>
      </c>
      <c r="B135" s="2" t="s">
        <v>28</v>
      </c>
      <c r="C135" s="3" t="n">
        <v>46273.3484837963</v>
      </c>
      <c r="D135" s="2" t="s">
        <v>17</v>
      </c>
      <c r="E135" s="2" t="n">
        <v>5000</v>
      </c>
      <c r="F135" s="2" t="s">
        <v>76</v>
      </c>
      <c r="G135" s="2" t="s">
        <v>77</v>
      </c>
      <c r="H135" s="2" t="str">
        <f aca="false">VLOOKUP(B135,$N$2:$S$41,3,FALSE())</f>
        <v>Model-X</v>
      </c>
      <c r="I135" s="2" t="str">
        <f aca="false">VLOOKUP(B135,$N$2:$S$41,2,FALSE())</f>
        <v>Новосибирск, Дуси Ковальчук</v>
      </c>
      <c r="J135" s="2" t="n">
        <f aca="false">IF(F135="success",1,0)</f>
        <v>0</v>
      </c>
      <c r="K135" s="2" t="n">
        <f aca="false">VLOOKUP(H135,Lookup!$A$4:$B$6,2,FALSE())</f>
        <v>18</v>
      </c>
    </row>
    <row r="136" customFormat="false" ht="15" hidden="false" customHeight="false" outlineLevel="0" collapsed="false">
      <c r="A136" s="2" t="s">
        <v>245</v>
      </c>
      <c r="B136" s="2" t="s">
        <v>53</v>
      </c>
      <c r="C136" s="3" t="n">
        <v>46273.3810069444</v>
      </c>
      <c r="D136" s="2" t="s">
        <v>29</v>
      </c>
      <c r="E136" s="2" t="n">
        <v>0</v>
      </c>
      <c r="F136" s="2" t="s">
        <v>18</v>
      </c>
      <c r="G136" s="2"/>
      <c r="H136" s="2" t="str">
        <f aca="false">VLOOKUP(B136,$N$2:$S$41,3,FALSE())</f>
        <v>Model-Z</v>
      </c>
      <c r="I136" s="2" t="str">
        <f aca="false">VLOOKUP(B136,$N$2:$S$41,2,FALSE())</f>
        <v>Ростов-на-Дону, Будённовский</v>
      </c>
      <c r="J136" s="2" t="n">
        <f aca="false">IF(F136="success",1,0)</f>
        <v>1</v>
      </c>
      <c r="K136" s="2" t="n">
        <f aca="false">VLOOKUP(H136,Lookup!$A$4:$B$6,2,FALSE())</f>
        <v>16</v>
      </c>
    </row>
    <row r="137" customFormat="false" ht="15" hidden="false" customHeight="false" outlineLevel="0" collapsed="false">
      <c r="A137" s="2" t="s">
        <v>246</v>
      </c>
      <c r="B137" s="2" t="s">
        <v>50</v>
      </c>
      <c r="C137" s="3" t="n">
        <v>46273.4538310185</v>
      </c>
      <c r="D137" s="2" t="s">
        <v>29</v>
      </c>
      <c r="E137" s="2" t="n">
        <v>0</v>
      </c>
      <c r="F137" s="2" t="s">
        <v>18</v>
      </c>
      <c r="G137" s="2"/>
      <c r="H137" s="2" t="str">
        <f aca="false">VLOOKUP(B137,$N$2:$S$41,3,FALSE())</f>
        <v>Model-Y</v>
      </c>
      <c r="I137" s="2" t="str">
        <f aca="false">VLOOKUP(B137,$N$2:$S$41,2,FALSE())</f>
        <v>Санкт-Петербург, Московский пр-т</v>
      </c>
      <c r="J137" s="2" t="n">
        <f aca="false">IF(F137="success",1,0)</f>
        <v>1</v>
      </c>
      <c r="K137" s="2" t="n">
        <f aca="false">VLOOKUP(H137,Lookup!$A$4:$B$6,2,FALSE())</f>
        <v>14</v>
      </c>
    </row>
    <row r="138" customFormat="false" ht="15" hidden="false" customHeight="false" outlineLevel="0" collapsed="false">
      <c r="A138" s="2" t="s">
        <v>247</v>
      </c>
      <c r="B138" s="2" t="s">
        <v>118</v>
      </c>
      <c r="C138" s="3" t="n">
        <v>46273.4577083333</v>
      </c>
      <c r="D138" s="2" t="s">
        <v>17</v>
      </c>
      <c r="E138" s="2" t="n">
        <v>10000</v>
      </c>
      <c r="F138" s="2" t="s">
        <v>18</v>
      </c>
      <c r="G138" s="2"/>
      <c r="H138" s="2" t="str">
        <f aca="false">VLOOKUP(B138,$N$2:$S$41,3,FALSE())</f>
        <v>Model-X</v>
      </c>
      <c r="I138" s="2" t="str">
        <f aca="false">VLOOKUP(B138,$N$2:$S$41,2,FALSE())</f>
        <v>Самара, Молодогвардейская</v>
      </c>
      <c r="J138" s="2" t="n">
        <f aca="false">IF(F138="success",1,0)</f>
        <v>1</v>
      </c>
      <c r="K138" s="2" t="n">
        <f aca="false">VLOOKUP(H138,Lookup!$A$4:$B$6,2,FALSE())</f>
        <v>18</v>
      </c>
    </row>
    <row r="139" customFormat="false" ht="15" hidden="false" customHeight="false" outlineLevel="0" collapsed="false">
      <c r="A139" s="2" t="s">
        <v>248</v>
      </c>
      <c r="B139" s="2" t="s">
        <v>84</v>
      </c>
      <c r="C139" s="3" t="n">
        <v>46273.4909722222</v>
      </c>
      <c r="D139" s="2" t="s">
        <v>17</v>
      </c>
      <c r="E139" s="2" t="n">
        <v>3000</v>
      </c>
      <c r="F139" s="2" t="s">
        <v>18</v>
      </c>
      <c r="G139" s="2"/>
      <c r="H139" s="2" t="str">
        <f aca="false">VLOOKUP(B139,$N$2:$S$41,3,FALSE())</f>
        <v>Model-X</v>
      </c>
      <c r="I139" s="2" t="str">
        <f aca="false">VLOOKUP(B139,$N$2:$S$41,2,FALSE())</f>
        <v>Новосибирск, Красный пр-т</v>
      </c>
      <c r="J139" s="2" t="n">
        <f aca="false">IF(F139="success",1,0)</f>
        <v>1</v>
      </c>
      <c r="K139" s="2" t="n">
        <f aca="false">VLOOKUP(H139,Lookup!$A$4:$B$6,2,FALSE())</f>
        <v>18</v>
      </c>
    </row>
    <row r="140" customFormat="false" ht="15" hidden="false" customHeight="false" outlineLevel="0" collapsed="false">
      <c r="A140" s="2" t="s">
        <v>249</v>
      </c>
      <c r="B140" s="2" t="s">
        <v>59</v>
      </c>
      <c r="C140" s="3" t="n">
        <v>46273.5264930556</v>
      </c>
      <c r="D140" s="2" t="s">
        <v>17</v>
      </c>
      <c r="E140" s="2" t="n">
        <v>5000</v>
      </c>
      <c r="F140" s="2" t="s">
        <v>18</v>
      </c>
      <c r="G140" s="2"/>
      <c r="H140" s="2" t="str">
        <f aca="false">VLOOKUP(B140,$N$2:$S$41,3,FALSE())</f>
        <v>Model-X</v>
      </c>
      <c r="I140" s="2" t="str">
        <f aca="false">VLOOKUP(B140,$N$2:$S$41,2,FALSE())</f>
        <v>Санкт-Петербург, Большой пр-т</v>
      </c>
      <c r="J140" s="2" t="n">
        <f aca="false">IF(F140="success",1,0)</f>
        <v>1</v>
      </c>
      <c r="K140" s="2" t="n">
        <f aca="false">VLOOKUP(H140,Lookup!$A$4:$B$6,2,FALSE())</f>
        <v>18</v>
      </c>
    </row>
    <row r="141" customFormat="false" ht="15" hidden="false" customHeight="false" outlineLevel="0" collapsed="false">
      <c r="A141" s="2" t="s">
        <v>250</v>
      </c>
      <c r="B141" s="2" t="s">
        <v>28</v>
      </c>
      <c r="C141" s="3" t="n">
        <v>46273.5699884259</v>
      </c>
      <c r="D141" s="2" t="s">
        <v>29</v>
      </c>
      <c r="E141" s="2" t="n">
        <v>0</v>
      </c>
      <c r="F141" s="2" t="s">
        <v>18</v>
      </c>
      <c r="G141" s="2"/>
      <c r="H141" s="2" t="str">
        <f aca="false">VLOOKUP(B141,$N$2:$S$41,3,FALSE())</f>
        <v>Model-X</v>
      </c>
      <c r="I141" s="2" t="str">
        <f aca="false">VLOOKUP(B141,$N$2:$S$41,2,FALSE())</f>
        <v>Новосибирск, Дуси Ковальчук</v>
      </c>
      <c r="J141" s="2" t="n">
        <f aca="false">IF(F141="success",1,0)</f>
        <v>1</v>
      </c>
      <c r="K141" s="2" t="n">
        <f aca="false">VLOOKUP(H141,Lookup!$A$4:$B$6,2,FALSE())</f>
        <v>18</v>
      </c>
    </row>
    <row r="142" customFormat="false" ht="15" hidden="false" customHeight="false" outlineLevel="0" collapsed="false">
      <c r="A142" s="2" t="s">
        <v>251</v>
      </c>
      <c r="B142" s="2" t="s">
        <v>24</v>
      </c>
      <c r="C142" s="3" t="n">
        <v>46273.5731597222</v>
      </c>
      <c r="D142" s="2" t="s">
        <v>29</v>
      </c>
      <c r="E142" s="2" t="n">
        <v>0</v>
      </c>
      <c r="F142" s="2" t="s">
        <v>18</v>
      </c>
      <c r="G142" s="2"/>
      <c r="H142" s="2" t="str">
        <f aca="false">VLOOKUP(B142,$N$2:$S$41,3,FALSE())</f>
        <v>Model-Y</v>
      </c>
      <c r="I142" s="2" t="str">
        <f aca="false">VLOOKUP(B142,$N$2:$S$41,2,FALSE())</f>
        <v>Москва, Арбат</v>
      </c>
      <c r="J142" s="2" t="n">
        <f aca="false">IF(F142="success",1,0)</f>
        <v>1</v>
      </c>
      <c r="K142" s="2" t="n">
        <f aca="false">VLOOKUP(H142,Lookup!$A$4:$B$6,2,FALSE())</f>
        <v>14</v>
      </c>
    </row>
    <row r="143" customFormat="false" ht="15" hidden="false" customHeight="false" outlineLevel="0" collapsed="false">
      <c r="A143" s="2" t="s">
        <v>252</v>
      </c>
      <c r="B143" s="2" t="s">
        <v>45</v>
      </c>
      <c r="C143" s="3" t="n">
        <v>46273.666099537</v>
      </c>
      <c r="D143" s="2" t="s">
        <v>17</v>
      </c>
      <c r="E143" s="2" t="n">
        <v>500</v>
      </c>
      <c r="F143" s="2" t="s">
        <v>18</v>
      </c>
      <c r="G143" s="2"/>
      <c r="H143" s="2" t="str">
        <f aca="false">VLOOKUP(B143,$N$2:$S$41,3,FALSE())</f>
        <v>Model-Y</v>
      </c>
      <c r="I143" s="2" t="str">
        <f aca="false">VLOOKUP(B143,$N$2:$S$41,2,FALSE())</f>
        <v>Воронеж, Плехановская</v>
      </c>
      <c r="J143" s="2" t="n">
        <f aca="false">IF(F143="success",1,0)</f>
        <v>1</v>
      </c>
      <c r="K143" s="2" t="n">
        <f aca="false">VLOOKUP(H143,Lookup!$A$4:$B$6,2,FALSE())</f>
        <v>14</v>
      </c>
    </row>
    <row r="144" customFormat="false" ht="15" hidden="false" customHeight="false" outlineLevel="0" collapsed="false">
      <c r="A144" s="2" t="s">
        <v>253</v>
      </c>
      <c r="B144" s="2" t="s">
        <v>24</v>
      </c>
      <c r="C144" s="3" t="n">
        <v>46273.6943402778</v>
      </c>
      <c r="D144" s="2" t="s">
        <v>17</v>
      </c>
      <c r="E144" s="2" t="n">
        <v>1500</v>
      </c>
      <c r="F144" s="2" t="s">
        <v>18</v>
      </c>
      <c r="G144" s="2"/>
      <c r="H144" s="2" t="str">
        <f aca="false">VLOOKUP(B144,$N$2:$S$41,3,FALSE())</f>
        <v>Model-Y</v>
      </c>
      <c r="I144" s="2" t="str">
        <f aca="false">VLOOKUP(B144,$N$2:$S$41,2,FALSE())</f>
        <v>Москва, Арбат</v>
      </c>
      <c r="J144" s="2" t="n">
        <f aca="false">IF(F144="success",1,0)</f>
        <v>1</v>
      </c>
      <c r="K144" s="2" t="n">
        <f aca="false">VLOOKUP(H144,Lookup!$A$4:$B$6,2,FALSE())</f>
        <v>14</v>
      </c>
    </row>
    <row r="145" customFormat="false" ht="15" hidden="false" customHeight="false" outlineLevel="0" collapsed="false">
      <c r="A145" s="2" t="s">
        <v>254</v>
      </c>
      <c r="B145" s="2" t="s">
        <v>85</v>
      </c>
      <c r="C145" s="3" t="n">
        <v>46273.7337731482</v>
      </c>
      <c r="D145" s="2" t="s">
        <v>17</v>
      </c>
      <c r="E145" s="2" t="n">
        <v>1000</v>
      </c>
      <c r="F145" s="2" t="s">
        <v>18</v>
      </c>
      <c r="G145" s="2"/>
      <c r="H145" s="2" t="str">
        <f aca="false">VLOOKUP(B145,$N$2:$S$41,3,FALSE())</f>
        <v>Model-Y</v>
      </c>
      <c r="I145" s="2" t="str">
        <f aca="false">VLOOKUP(B145,$N$2:$S$41,2,FALSE())</f>
        <v>Екатеринбург, 8 Марта</v>
      </c>
      <c r="J145" s="2" t="n">
        <f aca="false">IF(F145="success",1,0)</f>
        <v>1</v>
      </c>
      <c r="K145" s="2" t="n">
        <f aca="false">VLOOKUP(H145,Lookup!$A$4:$B$6,2,FALSE())</f>
        <v>14</v>
      </c>
    </row>
    <row r="146" customFormat="false" ht="15" hidden="false" customHeight="false" outlineLevel="0" collapsed="false">
      <c r="A146" s="2" t="s">
        <v>255</v>
      </c>
      <c r="B146" s="2" t="s">
        <v>23</v>
      </c>
      <c r="C146" s="3" t="n">
        <v>46273.8266319444</v>
      </c>
      <c r="D146" s="2" t="s">
        <v>65</v>
      </c>
      <c r="E146" s="2" t="n">
        <v>15000</v>
      </c>
      <c r="F146" s="2" t="s">
        <v>18</v>
      </c>
      <c r="G146" s="2"/>
      <c r="H146" s="2" t="str">
        <f aca="false">VLOOKUP(B146,$N$2:$S$41,3,FALSE())</f>
        <v>Model-X</v>
      </c>
      <c r="I146" s="2" t="str">
        <f aca="false">VLOOKUP(B146,$N$2:$S$41,2,FALSE())</f>
        <v>Воронеж, Кольцовская</v>
      </c>
      <c r="J146" s="2" t="n">
        <f aca="false">IF(F146="success",1,0)</f>
        <v>1</v>
      </c>
      <c r="K146" s="2" t="n">
        <f aca="false">VLOOKUP(H146,Lookup!$A$4:$B$6,2,FALSE())</f>
        <v>18</v>
      </c>
    </row>
    <row r="147" customFormat="false" ht="15" hidden="false" customHeight="false" outlineLevel="0" collapsed="false">
      <c r="A147" s="2" t="s">
        <v>256</v>
      </c>
      <c r="B147" s="2" t="s">
        <v>16</v>
      </c>
      <c r="C147" s="3" t="n">
        <v>46273.8597685185</v>
      </c>
      <c r="D147" s="2" t="s">
        <v>46</v>
      </c>
      <c r="E147" s="2" t="n">
        <v>7000</v>
      </c>
      <c r="F147" s="2" t="s">
        <v>18</v>
      </c>
      <c r="G147" s="2"/>
      <c r="H147" s="2" t="str">
        <f aca="false">VLOOKUP(B147,$N$2:$S$41,3,FALSE())</f>
        <v>Model-X</v>
      </c>
      <c r="I147" s="2" t="str">
        <f aca="false">VLOOKUP(B147,$N$2:$S$41,2,FALSE())</f>
        <v>Москва, Тверская</v>
      </c>
      <c r="J147" s="2" t="n">
        <f aca="false">IF(F147="success",1,0)</f>
        <v>1</v>
      </c>
      <c r="K147" s="2" t="n">
        <f aca="false">VLOOKUP(H147,Lookup!$A$4:$B$6,2,FALSE())</f>
        <v>18</v>
      </c>
    </row>
    <row r="148" customFormat="false" ht="15" hidden="false" customHeight="false" outlineLevel="0" collapsed="false">
      <c r="A148" s="2" t="s">
        <v>257</v>
      </c>
      <c r="B148" s="2" t="s">
        <v>34</v>
      </c>
      <c r="C148" s="3" t="n">
        <v>46273.9296527778</v>
      </c>
      <c r="D148" s="2" t="s">
        <v>29</v>
      </c>
      <c r="E148" s="2" t="n">
        <v>0</v>
      </c>
      <c r="F148" s="2" t="s">
        <v>18</v>
      </c>
      <c r="G148" s="2"/>
      <c r="H148" s="2" t="str">
        <f aca="false">VLOOKUP(B148,$N$2:$S$41,3,FALSE())</f>
        <v>Model-X</v>
      </c>
      <c r="I148" s="2" t="str">
        <f aca="false">VLOOKUP(B148,$N$2:$S$41,2,FALSE())</f>
        <v>Москва, Профсоюзная</v>
      </c>
      <c r="J148" s="2" t="n">
        <f aca="false">IF(F148="success",1,0)</f>
        <v>1</v>
      </c>
      <c r="K148" s="2" t="n">
        <f aca="false">VLOOKUP(H148,Lookup!$A$4:$B$6,2,FALSE())</f>
        <v>18</v>
      </c>
    </row>
    <row r="149" customFormat="false" ht="15" hidden="false" customHeight="false" outlineLevel="0" collapsed="false">
      <c r="A149" s="2" t="s">
        <v>258</v>
      </c>
      <c r="B149" s="2" t="s">
        <v>73</v>
      </c>
      <c r="C149" s="3" t="n">
        <v>46273.9369560185</v>
      </c>
      <c r="D149" s="2" t="s">
        <v>29</v>
      </c>
      <c r="E149" s="2" t="n">
        <v>0</v>
      </c>
      <c r="F149" s="2" t="s">
        <v>18</v>
      </c>
      <c r="G149" s="2"/>
      <c r="H149" s="2" t="str">
        <f aca="false">VLOOKUP(B149,$N$2:$S$41,3,FALSE())</f>
        <v>Model-Y</v>
      </c>
      <c r="I149" s="2" t="str">
        <f aca="false">VLOOKUP(B149,$N$2:$S$41,2,FALSE())</f>
        <v>Казань, Чистопольская</v>
      </c>
      <c r="J149" s="2" t="n">
        <f aca="false">IF(F149="success",1,0)</f>
        <v>1</v>
      </c>
      <c r="K149" s="2" t="n">
        <f aca="false">VLOOKUP(H149,Lookup!$A$4:$B$6,2,FALSE())</f>
        <v>14</v>
      </c>
    </row>
    <row r="150" customFormat="false" ht="15" hidden="false" customHeight="false" outlineLevel="0" collapsed="false">
      <c r="A150" s="2" t="s">
        <v>259</v>
      </c>
      <c r="B150" s="2" t="s">
        <v>125</v>
      </c>
      <c r="C150" s="3" t="n">
        <v>46273.954525463</v>
      </c>
      <c r="D150" s="2" t="s">
        <v>29</v>
      </c>
      <c r="E150" s="2" t="n">
        <v>0</v>
      </c>
      <c r="F150" s="2" t="s">
        <v>18</v>
      </c>
      <c r="G150" s="2"/>
      <c r="H150" s="2" t="str">
        <f aca="false">VLOOKUP(B150,$N$2:$S$41,3,FALSE())</f>
        <v>Model-X</v>
      </c>
      <c r="I150" s="2" t="str">
        <f aca="false">VLOOKUP(B150,$N$2:$S$41,2,FALSE())</f>
        <v>Ростов-на-Дону, Пушкинская</v>
      </c>
      <c r="J150" s="2" t="n">
        <f aca="false">IF(F150="success",1,0)</f>
        <v>1</v>
      </c>
      <c r="K150" s="2" t="n">
        <f aca="false">VLOOKUP(H150,Lookup!$A$4:$B$6,2,FALSE())</f>
        <v>18</v>
      </c>
    </row>
    <row r="151" customFormat="false" ht="15" hidden="false" customHeight="false" outlineLevel="0" collapsed="false">
      <c r="A151" s="2" t="s">
        <v>260</v>
      </c>
      <c r="B151" s="2" t="s">
        <v>130</v>
      </c>
      <c r="C151" s="3" t="n">
        <v>46274.1262037037</v>
      </c>
      <c r="D151" s="2" t="s">
        <v>17</v>
      </c>
      <c r="E151" s="2" t="n">
        <v>3000</v>
      </c>
      <c r="F151" s="2" t="s">
        <v>100</v>
      </c>
      <c r="G151" s="2"/>
      <c r="H151" s="2" t="str">
        <f aca="false">VLOOKUP(B151,$N$2:$S$41,3,FALSE())</f>
        <v>Model-Z</v>
      </c>
      <c r="I151" s="2" t="str">
        <f aca="false">VLOOKUP(B151,$N$2:$S$41,2,FALSE())</f>
        <v>Краснодар, Северная</v>
      </c>
      <c r="J151" s="2" t="n">
        <f aca="false">IF(F151="success",1,0)</f>
        <v>0</v>
      </c>
      <c r="K151" s="2" t="n">
        <f aca="false">VLOOKUP(H151,Lookup!$A$4:$B$6,2,FALSE())</f>
        <v>16</v>
      </c>
    </row>
    <row r="152" customFormat="false" ht="15" hidden="false" customHeight="false" outlineLevel="0" collapsed="false">
      <c r="A152" s="2" t="s">
        <v>261</v>
      </c>
      <c r="B152" s="2" t="s">
        <v>111</v>
      </c>
      <c r="C152" s="3" t="n">
        <v>46274.3234259259</v>
      </c>
      <c r="D152" s="2" t="s">
        <v>17</v>
      </c>
      <c r="E152" s="2" t="n">
        <v>1500</v>
      </c>
      <c r="F152" s="2" t="s">
        <v>18</v>
      </c>
      <c r="G152" s="2"/>
      <c r="H152" s="2" t="str">
        <f aca="false">VLOOKUP(B152,$N$2:$S$41,3,FALSE())</f>
        <v>Model-X</v>
      </c>
      <c r="I152" s="2" t="str">
        <f aca="false">VLOOKUP(B152,$N$2:$S$41,2,FALSE())</f>
        <v>Самара, Ленинградская</v>
      </c>
      <c r="J152" s="2" t="n">
        <f aca="false">IF(F152="success",1,0)</f>
        <v>1</v>
      </c>
      <c r="K152" s="2" t="n">
        <f aca="false">VLOOKUP(H152,Lookup!$A$4:$B$6,2,FALSE())</f>
        <v>18</v>
      </c>
    </row>
    <row r="153" customFormat="false" ht="15" hidden="false" customHeight="false" outlineLevel="0" collapsed="false">
      <c r="A153" s="2" t="s">
        <v>262</v>
      </c>
      <c r="B153" s="2" t="s">
        <v>53</v>
      </c>
      <c r="C153" s="3" t="n">
        <v>46274.3333333333</v>
      </c>
      <c r="D153" s="2" t="s">
        <v>17</v>
      </c>
      <c r="E153" s="2" t="n">
        <v>3000</v>
      </c>
      <c r="F153" s="2" t="s">
        <v>18</v>
      </c>
      <c r="G153" s="2"/>
      <c r="H153" s="2" t="str">
        <f aca="false">VLOOKUP(B153,$N$2:$S$41,3,FALSE())</f>
        <v>Model-Z</v>
      </c>
      <c r="I153" s="2" t="str">
        <f aca="false">VLOOKUP(B153,$N$2:$S$41,2,FALSE())</f>
        <v>Ростов-на-Дону, Будённовский</v>
      </c>
      <c r="J153" s="2" t="n">
        <f aca="false">IF(F153="success",1,0)</f>
        <v>1</v>
      </c>
      <c r="K153" s="2" t="n">
        <f aca="false">VLOOKUP(H153,Lookup!$A$4:$B$6,2,FALSE())</f>
        <v>16</v>
      </c>
    </row>
    <row r="154" customFormat="false" ht="15" hidden="false" customHeight="false" outlineLevel="0" collapsed="false">
      <c r="A154" s="2" t="s">
        <v>263</v>
      </c>
      <c r="B154" s="2" t="s">
        <v>62</v>
      </c>
      <c r="C154" s="3" t="n">
        <v>46274.3516550926</v>
      </c>
      <c r="D154" s="2" t="s">
        <v>46</v>
      </c>
      <c r="E154" s="2" t="n">
        <v>1500</v>
      </c>
      <c r="F154" s="2" t="s">
        <v>76</v>
      </c>
      <c r="G154" s="2" t="s">
        <v>160</v>
      </c>
      <c r="H154" s="2" t="str">
        <f aca="false">VLOOKUP(B154,$N$2:$S$41,3,FALSE())</f>
        <v>Model-X</v>
      </c>
      <c r="I154" s="2" t="str">
        <f aca="false">VLOOKUP(B154,$N$2:$S$41,2,FALSE())</f>
        <v>Казань, Баумана</v>
      </c>
      <c r="J154" s="2" t="n">
        <f aca="false">IF(F154="success",1,0)</f>
        <v>0</v>
      </c>
      <c r="K154" s="2" t="n">
        <f aca="false">VLOOKUP(H154,Lookup!$A$4:$B$6,2,FALSE())</f>
        <v>18</v>
      </c>
    </row>
    <row r="155" customFormat="false" ht="15" hidden="false" customHeight="false" outlineLevel="0" collapsed="false">
      <c r="A155" s="2" t="s">
        <v>264</v>
      </c>
      <c r="B155" s="2" t="s">
        <v>125</v>
      </c>
      <c r="C155" s="3" t="n">
        <v>46274.3709490741</v>
      </c>
      <c r="D155" s="2" t="s">
        <v>17</v>
      </c>
      <c r="E155" s="2" t="n">
        <v>10000</v>
      </c>
      <c r="F155" s="2" t="s">
        <v>18</v>
      </c>
      <c r="G155" s="2"/>
      <c r="H155" s="2" t="str">
        <f aca="false">VLOOKUP(B155,$N$2:$S$41,3,FALSE())</f>
        <v>Model-X</v>
      </c>
      <c r="I155" s="2" t="str">
        <f aca="false">VLOOKUP(B155,$N$2:$S$41,2,FALSE())</f>
        <v>Ростов-на-Дону, Пушкинская</v>
      </c>
      <c r="J155" s="2" t="n">
        <f aca="false">IF(F155="success",1,0)</f>
        <v>1</v>
      </c>
      <c r="K155" s="2" t="n">
        <f aca="false">VLOOKUP(H155,Lookup!$A$4:$B$6,2,FALSE())</f>
        <v>18</v>
      </c>
    </row>
    <row r="156" customFormat="false" ht="15" hidden="false" customHeight="false" outlineLevel="0" collapsed="false">
      <c r="A156" s="2" t="s">
        <v>265</v>
      </c>
      <c r="B156" s="2" t="s">
        <v>59</v>
      </c>
      <c r="C156" s="3" t="n">
        <v>46274.4399537037</v>
      </c>
      <c r="D156" s="2" t="s">
        <v>29</v>
      </c>
      <c r="E156" s="2" t="n">
        <v>0</v>
      </c>
      <c r="F156" s="2" t="s">
        <v>18</v>
      </c>
      <c r="G156" s="2"/>
      <c r="H156" s="2" t="str">
        <f aca="false">VLOOKUP(B156,$N$2:$S$41,3,FALSE())</f>
        <v>Model-X</v>
      </c>
      <c r="I156" s="2" t="str">
        <f aca="false">VLOOKUP(B156,$N$2:$S$41,2,FALSE())</f>
        <v>Санкт-Петербург, Большой пр-т</v>
      </c>
      <c r="J156" s="2" t="n">
        <f aca="false">IF(F156="success",1,0)</f>
        <v>1</v>
      </c>
      <c r="K156" s="2" t="n">
        <f aca="false">VLOOKUP(H156,Lookup!$A$4:$B$6,2,FALSE())</f>
        <v>18</v>
      </c>
    </row>
    <row r="157" customFormat="false" ht="15" hidden="false" customHeight="false" outlineLevel="0" collapsed="false">
      <c r="A157" s="2" t="s">
        <v>266</v>
      </c>
      <c r="B157" s="2" t="s">
        <v>16</v>
      </c>
      <c r="C157" s="3" t="n">
        <v>46274.4553240741</v>
      </c>
      <c r="D157" s="2" t="s">
        <v>17</v>
      </c>
      <c r="E157" s="2" t="n">
        <v>1000</v>
      </c>
      <c r="F157" s="2" t="s">
        <v>18</v>
      </c>
      <c r="G157" s="2"/>
      <c r="H157" s="2" t="str">
        <f aca="false">VLOOKUP(B157,$N$2:$S$41,3,FALSE())</f>
        <v>Model-X</v>
      </c>
      <c r="I157" s="2" t="str">
        <f aca="false">VLOOKUP(B157,$N$2:$S$41,2,FALSE())</f>
        <v>Москва, Тверская</v>
      </c>
      <c r="J157" s="2" t="n">
        <f aca="false">IF(F157="success",1,0)</f>
        <v>1</v>
      </c>
      <c r="K157" s="2" t="n">
        <f aca="false">VLOOKUP(H157,Lookup!$A$4:$B$6,2,FALSE())</f>
        <v>18</v>
      </c>
    </row>
    <row r="158" customFormat="false" ht="15" hidden="false" customHeight="false" outlineLevel="0" collapsed="false">
      <c r="A158" s="2" t="s">
        <v>267</v>
      </c>
      <c r="B158" s="2" t="s">
        <v>97</v>
      </c>
      <c r="C158" s="3" t="n">
        <v>46274.4805555556</v>
      </c>
      <c r="D158" s="2" t="s">
        <v>65</v>
      </c>
      <c r="E158" s="2" t="n">
        <v>7000</v>
      </c>
      <c r="F158" s="2" t="s">
        <v>18</v>
      </c>
      <c r="G158" s="2"/>
      <c r="H158" s="2" t="str">
        <f aca="false">VLOOKUP(B158,$N$2:$S$41,3,FALSE())</f>
        <v>Model-X</v>
      </c>
      <c r="I158" s="2" t="str">
        <f aca="false">VLOOKUP(B158,$N$2:$S$41,2,FALSE())</f>
        <v>Новосибирск, Гоголя</v>
      </c>
      <c r="J158" s="2" t="n">
        <f aca="false">IF(F158="success",1,0)</f>
        <v>1</v>
      </c>
      <c r="K158" s="2" t="n">
        <f aca="false">VLOOKUP(H158,Lookup!$A$4:$B$6,2,FALSE())</f>
        <v>18</v>
      </c>
    </row>
    <row r="159" customFormat="false" ht="15" hidden="false" customHeight="false" outlineLevel="0" collapsed="false">
      <c r="A159" s="2" t="s">
        <v>268</v>
      </c>
      <c r="B159" s="2" t="s">
        <v>54</v>
      </c>
      <c r="C159" s="3" t="n">
        <v>46274.4838194445</v>
      </c>
      <c r="D159" s="2" t="s">
        <v>17</v>
      </c>
      <c r="E159" s="2" t="n">
        <v>3000</v>
      </c>
      <c r="F159" s="2" t="s">
        <v>18</v>
      </c>
      <c r="G159" s="2"/>
      <c r="H159" s="2" t="str">
        <f aca="false">VLOOKUP(B159,$N$2:$S$41,3,FALSE())</f>
        <v>Model-Z</v>
      </c>
      <c r="I159" s="2" t="str">
        <f aca="false">VLOOKUP(B159,$N$2:$S$41,2,FALSE())</f>
        <v>Санкт-Петербург, Лиговский пр-т</v>
      </c>
      <c r="J159" s="2" t="n">
        <f aca="false">IF(F159="success",1,0)</f>
        <v>1</v>
      </c>
      <c r="K159" s="2" t="n">
        <f aca="false">VLOOKUP(H159,Lookup!$A$4:$B$6,2,FALSE())</f>
        <v>16</v>
      </c>
    </row>
    <row r="160" customFormat="false" ht="15" hidden="false" customHeight="false" outlineLevel="0" collapsed="false">
      <c r="A160" s="2" t="s">
        <v>269</v>
      </c>
      <c r="B160" s="2" t="s">
        <v>103</v>
      </c>
      <c r="C160" s="3" t="n">
        <v>46274.4888888889</v>
      </c>
      <c r="D160" s="2" t="s">
        <v>29</v>
      </c>
      <c r="E160" s="2" t="n">
        <v>0</v>
      </c>
      <c r="F160" s="2" t="s">
        <v>18</v>
      </c>
      <c r="G160" s="2"/>
      <c r="H160" s="2" t="str">
        <f aca="false">VLOOKUP(B160,$N$2:$S$41,3,FALSE())</f>
        <v>Model-Y</v>
      </c>
      <c r="I160" s="2" t="str">
        <f aca="false">VLOOKUP(B160,$N$2:$S$41,2,FALSE())</f>
        <v>Нижний Новгород, Большая Покровская</v>
      </c>
      <c r="J160" s="2" t="n">
        <f aca="false">IF(F160="success",1,0)</f>
        <v>1</v>
      </c>
      <c r="K160" s="2" t="n">
        <f aca="false">VLOOKUP(H160,Lookup!$A$4:$B$6,2,FALSE())</f>
        <v>14</v>
      </c>
    </row>
    <row r="161" customFormat="false" ht="15" hidden="false" customHeight="false" outlineLevel="0" collapsed="false">
      <c r="A161" s="2" t="s">
        <v>270</v>
      </c>
      <c r="B161" s="2" t="s">
        <v>114</v>
      </c>
      <c r="C161" s="3" t="n">
        <v>46274.5319907407</v>
      </c>
      <c r="D161" s="2" t="s">
        <v>17</v>
      </c>
      <c r="E161" s="2" t="n">
        <v>15000</v>
      </c>
      <c r="F161" s="2" t="s">
        <v>100</v>
      </c>
      <c r="G161" s="2"/>
      <c r="H161" s="2" t="str">
        <f aca="false">VLOOKUP(B161,$N$2:$S$41,3,FALSE())</f>
        <v>Model-Z</v>
      </c>
      <c r="I161" s="2" t="str">
        <f aca="false">VLOOKUP(B161,$N$2:$S$41,2,FALSE())</f>
        <v>Самара, Куйбышева</v>
      </c>
      <c r="J161" s="2" t="n">
        <f aca="false">IF(F161="success",1,0)</f>
        <v>0</v>
      </c>
      <c r="K161" s="2" t="n">
        <f aca="false">VLOOKUP(H161,Lookup!$A$4:$B$6,2,FALSE())</f>
        <v>16</v>
      </c>
    </row>
    <row r="162" customFormat="false" ht="15" hidden="false" customHeight="false" outlineLevel="0" collapsed="false">
      <c r="A162" s="2" t="s">
        <v>271</v>
      </c>
      <c r="B162" s="2" t="s">
        <v>81</v>
      </c>
      <c r="C162" s="3" t="n">
        <v>46274.5416435185</v>
      </c>
      <c r="D162" s="2" t="s">
        <v>17</v>
      </c>
      <c r="E162" s="2" t="n">
        <v>500</v>
      </c>
      <c r="F162" s="2" t="s">
        <v>18</v>
      </c>
      <c r="G162" s="2"/>
      <c r="H162" s="2" t="str">
        <f aca="false">VLOOKUP(B162,$N$2:$S$41,3,FALSE())</f>
        <v>Model-X</v>
      </c>
      <c r="I162" s="2" t="str">
        <f aca="false">VLOOKUP(B162,$N$2:$S$41,2,FALSE())</f>
        <v>Екатеринбург, Малышева</v>
      </c>
      <c r="J162" s="2" t="n">
        <f aca="false">IF(F162="success",1,0)</f>
        <v>1</v>
      </c>
      <c r="K162" s="2" t="n">
        <f aca="false">VLOOKUP(H162,Lookup!$A$4:$B$6,2,FALSE())</f>
        <v>18</v>
      </c>
    </row>
    <row r="163" customFormat="false" ht="15" hidden="false" customHeight="false" outlineLevel="0" collapsed="false">
      <c r="A163" s="2" t="s">
        <v>272</v>
      </c>
      <c r="B163" s="2" t="s">
        <v>69</v>
      </c>
      <c r="C163" s="3" t="n">
        <v>46274.5883333333</v>
      </c>
      <c r="D163" s="2" t="s">
        <v>29</v>
      </c>
      <c r="E163" s="2" t="n">
        <v>0</v>
      </c>
      <c r="F163" s="2" t="s">
        <v>18</v>
      </c>
      <c r="G163" s="2"/>
      <c r="H163" s="2" t="str">
        <f aca="false">VLOOKUP(B163,$N$2:$S$41,3,FALSE())</f>
        <v>Model-X</v>
      </c>
      <c r="I163" s="2" t="str">
        <f aca="false">VLOOKUP(B163,$N$2:$S$41,2,FALSE())</f>
        <v>Казань, Пушкина</v>
      </c>
      <c r="J163" s="2" t="n">
        <f aca="false">IF(F163="success",1,0)</f>
        <v>1</v>
      </c>
      <c r="K163" s="2" t="n">
        <f aca="false">VLOOKUP(H163,Lookup!$A$4:$B$6,2,FALSE())</f>
        <v>18</v>
      </c>
    </row>
    <row r="164" customFormat="false" ht="15" hidden="false" customHeight="false" outlineLevel="0" collapsed="false">
      <c r="A164" s="2" t="s">
        <v>273</v>
      </c>
      <c r="B164" s="2" t="s">
        <v>103</v>
      </c>
      <c r="C164" s="3" t="n">
        <v>46274.6590972222</v>
      </c>
      <c r="D164" s="2" t="s">
        <v>17</v>
      </c>
      <c r="E164" s="2" t="n">
        <v>500</v>
      </c>
      <c r="F164" s="2" t="s">
        <v>18</v>
      </c>
      <c r="G164" s="2"/>
      <c r="H164" s="2" t="str">
        <f aca="false">VLOOKUP(B164,$N$2:$S$41,3,FALSE())</f>
        <v>Model-Y</v>
      </c>
      <c r="I164" s="2" t="str">
        <f aca="false">VLOOKUP(B164,$N$2:$S$41,2,FALSE())</f>
        <v>Нижний Новгород, Большая Покровская</v>
      </c>
      <c r="J164" s="2" t="n">
        <f aca="false">IF(F164="success",1,0)</f>
        <v>1</v>
      </c>
      <c r="K164" s="2" t="n">
        <f aca="false">VLOOKUP(H164,Lookup!$A$4:$B$6,2,FALSE())</f>
        <v>14</v>
      </c>
    </row>
    <row r="165" customFormat="false" ht="15" hidden="false" customHeight="false" outlineLevel="0" collapsed="false">
      <c r="A165" s="2" t="s">
        <v>274</v>
      </c>
      <c r="B165" s="2" t="s">
        <v>30</v>
      </c>
      <c r="C165" s="3" t="n">
        <v>46274.689375</v>
      </c>
      <c r="D165" s="2" t="s">
        <v>29</v>
      </c>
      <c r="E165" s="2" t="n">
        <v>0</v>
      </c>
      <c r="F165" s="2" t="s">
        <v>18</v>
      </c>
      <c r="G165" s="2"/>
      <c r="H165" s="2" t="str">
        <f aca="false">VLOOKUP(B165,$N$2:$S$41,3,FALSE())</f>
        <v>Model-Z</v>
      </c>
      <c r="I165" s="2" t="str">
        <f aca="false">VLOOKUP(B165,$N$2:$S$41,2,FALSE())</f>
        <v>Москва, Новослободская</v>
      </c>
      <c r="J165" s="2" t="n">
        <f aca="false">IF(F165="success",1,0)</f>
        <v>1</v>
      </c>
      <c r="K165" s="2" t="n">
        <f aca="false">VLOOKUP(H165,Lookup!$A$4:$B$6,2,FALSE())</f>
        <v>16</v>
      </c>
    </row>
    <row r="166" customFormat="false" ht="15" hidden="false" customHeight="false" outlineLevel="0" collapsed="false">
      <c r="A166" s="2" t="s">
        <v>275</v>
      </c>
      <c r="B166" s="2" t="s">
        <v>28</v>
      </c>
      <c r="C166" s="3" t="n">
        <v>46274.6991203704</v>
      </c>
      <c r="D166" s="2" t="s">
        <v>17</v>
      </c>
      <c r="E166" s="2" t="n">
        <v>2000</v>
      </c>
      <c r="F166" s="2" t="s">
        <v>18</v>
      </c>
      <c r="G166" s="2"/>
      <c r="H166" s="2" t="str">
        <f aca="false">VLOOKUP(B166,$N$2:$S$41,3,FALSE())</f>
        <v>Model-X</v>
      </c>
      <c r="I166" s="2" t="str">
        <f aca="false">VLOOKUP(B166,$N$2:$S$41,2,FALSE())</f>
        <v>Новосибирск, Дуси Ковальчук</v>
      </c>
      <c r="J166" s="2" t="n">
        <f aca="false">IF(F166="success",1,0)</f>
        <v>1</v>
      </c>
      <c r="K166" s="2" t="n">
        <f aca="false">VLOOKUP(H166,Lookup!$A$4:$B$6,2,FALSE())</f>
        <v>18</v>
      </c>
    </row>
    <row r="167" customFormat="false" ht="15" hidden="false" customHeight="false" outlineLevel="0" collapsed="false">
      <c r="A167" s="2" t="s">
        <v>276</v>
      </c>
      <c r="B167" s="2" t="s">
        <v>58</v>
      </c>
      <c r="C167" s="3" t="n">
        <v>46274.7396643519</v>
      </c>
      <c r="D167" s="2" t="s">
        <v>29</v>
      </c>
      <c r="E167" s="2" t="n">
        <v>0</v>
      </c>
      <c r="F167" s="2" t="s">
        <v>18</v>
      </c>
      <c r="G167" s="2"/>
      <c r="H167" s="2" t="str">
        <f aca="false">VLOOKUP(B167,$N$2:$S$41,3,FALSE())</f>
        <v>Model-Y</v>
      </c>
      <c r="I167" s="2" t="str">
        <f aca="false">VLOOKUP(B167,$N$2:$S$41,2,FALSE())</f>
        <v>Краснодар, Красная</v>
      </c>
      <c r="J167" s="2" t="n">
        <f aca="false">IF(F167="success",1,0)</f>
        <v>1</v>
      </c>
      <c r="K167" s="2" t="n">
        <f aca="false">VLOOKUP(H167,Lookup!$A$4:$B$6,2,FALSE())</f>
        <v>14</v>
      </c>
    </row>
    <row r="168" customFormat="false" ht="15" hidden="false" customHeight="false" outlineLevel="0" collapsed="false">
      <c r="A168" s="2" t="s">
        <v>277</v>
      </c>
      <c r="B168" s="2" t="s">
        <v>62</v>
      </c>
      <c r="C168" s="3" t="n">
        <v>46274.7508912037</v>
      </c>
      <c r="D168" s="2" t="s">
        <v>17</v>
      </c>
      <c r="E168" s="2" t="n">
        <v>500</v>
      </c>
      <c r="F168" s="2" t="s">
        <v>18</v>
      </c>
      <c r="G168" s="2"/>
      <c r="H168" s="2" t="str">
        <f aca="false">VLOOKUP(B168,$N$2:$S$41,3,FALSE())</f>
        <v>Model-X</v>
      </c>
      <c r="I168" s="2" t="str">
        <f aca="false">VLOOKUP(B168,$N$2:$S$41,2,FALSE())</f>
        <v>Казань, Баумана</v>
      </c>
      <c r="J168" s="2" t="n">
        <f aca="false">IF(F168="success",1,0)</f>
        <v>1</v>
      </c>
      <c r="K168" s="2" t="n">
        <f aca="false">VLOOKUP(H168,Lookup!$A$4:$B$6,2,FALSE())</f>
        <v>18</v>
      </c>
    </row>
    <row r="169" customFormat="false" ht="15" hidden="false" customHeight="false" outlineLevel="0" collapsed="false">
      <c r="A169" s="2" t="s">
        <v>278</v>
      </c>
      <c r="B169" s="2" t="s">
        <v>139</v>
      </c>
      <c r="C169" s="3" t="n">
        <v>46274.7596875</v>
      </c>
      <c r="D169" s="2" t="s">
        <v>29</v>
      </c>
      <c r="E169" s="2" t="n">
        <v>0</v>
      </c>
      <c r="F169" s="2" t="s">
        <v>18</v>
      </c>
      <c r="G169" s="2"/>
      <c r="H169" s="2" t="str">
        <f aca="false">VLOOKUP(B169,$N$2:$S$41,3,FALSE())</f>
        <v>Model-X</v>
      </c>
      <c r="I169" s="2" t="str">
        <f aca="false">VLOOKUP(B169,$N$2:$S$41,2,FALSE())</f>
        <v>Воронеж, Революции</v>
      </c>
      <c r="J169" s="2" t="n">
        <f aca="false">IF(F169="success",1,0)</f>
        <v>1</v>
      </c>
      <c r="K169" s="2" t="n">
        <f aca="false">VLOOKUP(H169,Lookup!$A$4:$B$6,2,FALSE())</f>
        <v>18</v>
      </c>
    </row>
    <row r="170" customFormat="false" ht="15" hidden="false" customHeight="false" outlineLevel="0" collapsed="false">
      <c r="A170" s="2" t="s">
        <v>279</v>
      </c>
      <c r="B170" s="2" t="s">
        <v>78</v>
      </c>
      <c r="C170" s="3" t="n">
        <v>46274.7985185185</v>
      </c>
      <c r="D170" s="2" t="s">
        <v>17</v>
      </c>
      <c r="E170" s="2" t="n">
        <v>1000</v>
      </c>
      <c r="F170" s="2" t="s">
        <v>18</v>
      </c>
      <c r="G170" s="2"/>
      <c r="H170" s="2" t="str">
        <f aca="false">VLOOKUP(B170,$N$2:$S$41,3,FALSE())</f>
        <v>Model-Z</v>
      </c>
      <c r="I170" s="2" t="str">
        <f aca="false">VLOOKUP(B170,$N$2:$S$41,2,FALSE())</f>
        <v>Екатеринбург, Ленина</v>
      </c>
      <c r="J170" s="2" t="n">
        <f aca="false">IF(F170="success",1,0)</f>
        <v>1</v>
      </c>
      <c r="K170" s="2" t="n">
        <f aca="false">VLOOKUP(H170,Lookup!$A$4:$B$6,2,FALSE())</f>
        <v>16</v>
      </c>
    </row>
    <row r="171" customFormat="false" ht="15" hidden="false" customHeight="false" outlineLevel="0" collapsed="false">
      <c r="A171" s="2" t="s">
        <v>280</v>
      </c>
      <c r="B171" s="2" t="s">
        <v>34</v>
      </c>
      <c r="C171" s="3" t="n">
        <v>46274.8104166667</v>
      </c>
      <c r="D171" s="2" t="s">
        <v>17</v>
      </c>
      <c r="E171" s="2" t="n">
        <v>5000</v>
      </c>
      <c r="F171" s="2" t="s">
        <v>18</v>
      </c>
      <c r="G171" s="2"/>
      <c r="H171" s="2" t="str">
        <f aca="false">VLOOKUP(B171,$N$2:$S$41,3,FALSE())</f>
        <v>Model-X</v>
      </c>
      <c r="I171" s="2" t="str">
        <f aca="false">VLOOKUP(B171,$N$2:$S$41,2,FALSE())</f>
        <v>Москва, Профсоюзная</v>
      </c>
      <c r="J171" s="2" t="n">
        <f aca="false">IF(F171="success",1,0)</f>
        <v>1</v>
      </c>
      <c r="K171" s="2" t="n">
        <f aca="false">VLOOKUP(H171,Lookup!$A$4:$B$6,2,FALSE())</f>
        <v>18</v>
      </c>
    </row>
    <row r="172" customFormat="false" ht="15" hidden="false" customHeight="false" outlineLevel="0" collapsed="false">
      <c r="A172" s="2" t="s">
        <v>281</v>
      </c>
      <c r="B172" s="2" t="s">
        <v>59</v>
      </c>
      <c r="C172" s="3" t="n">
        <v>46274.9123148148</v>
      </c>
      <c r="D172" s="2" t="s">
        <v>17</v>
      </c>
      <c r="E172" s="2" t="n">
        <v>10000</v>
      </c>
      <c r="F172" s="2" t="s">
        <v>18</v>
      </c>
      <c r="G172" s="2"/>
      <c r="H172" s="2" t="str">
        <f aca="false">VLOOKUP(B172,$N$2:$S$41,3,FALSE())</f>
        <v>Model-X</v>
      </c>
      <c r="I172" s="2" t="str">
        <f aca="false">VLOOKUP(B172,$N$2:$S$41,2,FALSE())</f>
        <v>Санкт-Петербург, Большой пр-т</v>
      </c>
      <c r="J172" s="2" t="n">
        <f aca="false">IF(F172="success",1,0)</f>
        <v>1</v>
      </c>
      <c r="K172" s="2" t="n">
        <f aca="false">VLOOKUP(H172,Lookup!$A$4:$B$6,2,FALSE())</f>
        <v>18</v>
      </c>
    </row>
    <row r="173" customFormat="false" ht="15" hidden="false" customHeight="false" outlineLevel="0" collapsed="false">
      <c r="A173" s="2" t="s">
        <v>282</v>
      </c>
      <c r="B173" s="2" t="s">
        <v>39</v>
      </c>
      <c r="C173" s="3" t="n">
        <v>46274.9290046296</v>
      </c>
      <c r="D173" s="2" t="s">
        <v>17</v>
      </c>
      <c r="E173" s="2" t="n">
        <v>1500</v>
      </c>
      <c r="F173" s="2" t="s">
        <v>18</v>
      </c>
      <c r="G173" s="2"/>
      <c r="H173" s="2" t="str">
        <f aca="false">VLOOKUP(B173,$N$2:$S$41,3,FALSE())</f>
        <v>Model-Y</v>
      </c>
      <c r="I173" s="2" t="str">
        <f aca="false">VLOOKUP(B173,$N$2:$S$41,2,FALSE())</f>
        <v>Москва, Кутузовский пр-т</v>
      </c>
      <c r="J173" s="2" t="n">
        <f aca="false">IF(F173="success",1,0)</f>
        <v>1</v>
      </c>
      <c r="K173" s="2" t="n">
        <f aca="false">VLOOKUP(H173,Lookup!$A$4:$B$6,2,FALSE())</f>
        <v>14</v>
      </c>
    </row>
    <row r="174" customFormat="false" ht="15" hidden="false" customHeight="false" outlineLevel="0" collapsed="false">
      <c r="A174" s="2" t="s">
        <v>283</v>
      </c>
      <c r="B174" s="2" t="s">
        <v>125</v>
      </c>
      <c r="C174" s="3" t="n">
        <v>46274.9307291667</v>
      </c>
      <c r="D174" s="2" t="s">
        <v>65</v>
      </c>
      <c r="E174" s="2" t="n">
        <v>10000</v>
      </c>
      <c r="F174" s="2" t="s">
        <v>18</v>
      </c>
      <c r="G174" s="2"/>
      <c r="H174" s="2" t="str">
        <f aca="false">VLOOKUP(B174,$N$2:$S$41,3,FALSE())</f>
        <v>Model-X</v>
      </c>
      <c r="I174" s="2" t="str">
        <f aca="false">VLOOKUP(B174,$N$2:$S$41,2,FALSE())</f>
        <v>Ростов-на-Дону, Пушкинская</v>
      </c>
      <c r="J174" s="2" t="n">
        <f aca="false">IF(F174="success",1,0)</f>
        <v>1</v>
      </c>
      <c r="K174" s="2" t="n">
        <f aca="false">VLOOKUP(H174,Lookup!$A$4:$B$6,2,FALSE())</f>
        <v>18</v>
      </c>
    </row>
    <row r="175" customFormat="false" ht="15" hidden="false" customHeight="false" outlineLevel="0" collapsed="false">
      <c r="A175" s="2" t="s">
        <v>284</v>
      </c>
      <c r="B175" s="2" t="s">
        <v>53</v>
      </c>
      <c r="C175" s="3" t="n">
        <v>46274.931712963</v>
      </c>
      <c r="D175" s="2" t="s">
        <v>29</v>
      </c>
      <c r="E175" s="2" t="n">
        <v>0</v>
      </c>
      <c r="F175" s="2" t="s">
        <v>18</v>
      </c>
      <c r="G175" s="2"/>
      <c r="H175" s="2" t="str">
        <f aca="false">VLOOKUP(B175,$N$2:$S$41,3,FALSE())</f>
        <v>Model-Z</v>
      </c>
      <c r="I175" s="2" t="str">
        <f aca="false">VLOOKUP(B175,$N$2:$S$41,2,FALSE())</f>
        <v>Ростов-на-Дону, Будённовский</v>
      </c>
      <c r="J175" s="2" t="n">
        <f aca="false">IF(F175="success",1,0)</f>
        <v>1</v>
      </c>
      <c r="K175" s="2" t="n">
        <f aca="false">VLOOKUP(H175,Lookup!$A$4:$B$6,2,FALSE())</f>
        <v>16</v>
      </c>
    </row>
    <row r="176" customFormat="false" ht="15" hidden="false" customHeight="false" outlineLevel="0" collapsed="false">
      <c r="A176" s="2" t="s">
        <v>285</v>
      </c>
      <c r="B176" s="2" t="s">
        <v>111</v>
      </c>
      <c r="C176" s="3" t="n">
        <v>46275.2727314815</v>
      </c>
      <c r="D176" s="2" t="s">
        <v>46</v>
      </c>
      <c r="E176" s="2" t="n">
        <v>15000</v>
      </c>
      <c r="F176" s="2" t="s">
        <v>18</v>
      </c>
      <c r="G176" s="2"/>
      <c r="H176" s="2" t="str">
        <f aca="false">VLOOKUP(B176,$N$2:$S$41,3,FALSE())</f>
        <v>Model-X</v>
      </c>
      <c r="I176" s="2" t="str">
        <f aca="false">VLOOKUP(B176,$N$2:$S$41,2,FALSE())</f>
        <v>Самара, Ленинградская</v>
      </c>
      <c r="J176" s="2" t="n">
        <f aca="false">IF(F176="success",1,0)</f>
        <v>1</v>
      </c>
      <c r="K176" s="2" t="n">
        <f aca="false">VLOOKUP(H176,Lookup!$A$4:$B$6,2,FALSE())</f>
        <v>18</v>
      </c>
    </row>
    <row r="177" customFormat="false" ht="15" hidden="false" customHeight="false" outlineLevel="0" collapsed="false">
      <c r="A177" s="2" t="s">
        <v>286</v>
      </c>
      <c r="B177" s="2" t="s">
        <v>54</v>
      </c>
      <c r="C177" s="3" t="n">
        <v>46275.2956828704</v>
      </c>
      <c r="D177" s="2" t="s">
        <v>29</v>
      </c>
      <c r="E177" s="2" t="n">
        <v>0</v>
      </c>
      <c r="F177" s="2" t="s">
        <v>18</v>
      </c>
      <c r="G177" s="2"/>
      <c r="H177" s="2" t="str">
        <f aca="false">VLOOKUP(B177,$N$2:$S$41,3,FALSE())</f>
        <v>Model-Z</v>
      </c>
      <c r="I177" s="2" t="str">
        <f aca="false">VLOOKUP(B177,$N$2:$S$41,2,FALSE())</f>
        <v>Санкт-Петербург, Лиговский пр-т</v>
      </c>
      <c r="J177" s="2" t="n">
        <f aca="false">IF(F177="success",1,0)</f>
        <v>1</v>
      </c>
      <c r="K177" s="2" t="n">
        <f aca="false">VLOOKUP(H177,Lookup!$A$4:$B$6,2,FALSE())</f>
        <v>16</v>
      </c>
    </row>
    <row r="178" customFormat="false" ht="15" hidden="false" customHeight="false" outlineLevel="0" collapsed="false">
      <c r="A178" s="2" t="s">
        <v>287</v>
      </c>
      <c r="B178" s="2" t="s">
        <v>24</v>
      </c>
      <c r="C178" s="3" t="n">
        <v>46275.3595717593</v>
      </c>
      <c r="D178" s="2" t="s">
        <v>17</v>
      </c>
      <c r="E178" s="2" t="n">
        <v>7000</v>
      </c>
      <c r="F178" s="2" t="s">
        <v>18</v>
      </c>
      <c r="G178" s="2"/>
      <c r="H178" s="2" t="str">
        <f aca="false">VLOOKUP(B178,$N$2:$S$41,3,FALSE())</f>
        <v>Model-Y</v>
      </c>
      <c r="I178" s="2" t="str">
        <f aca="false">VLOOKUP(B178,$N$2:$S$41,2,FALSE())</f>
        <v>Москва, Арбат</v>
      </c>
      <c r="J178" s="2" t="n">
        <f aca="false">IF(F178="success",1,0)</f>
        <v>1</v>
      </c>
      <c r="K178" s="2" t="n">
        <f aca="false">VLOOKUP(H178,Lookup!$A$4:$B$6,2,FALSE())</f>
        <v>14</v>
      </c>
    </row>
    <row r="179" customFormat="false" ht="15" hidden="false" customHeight="false" outlineLevel="0" collapsed="false">
      <c r="A179" s="2" t="s">
        <v>288</v>
      </c>
      <c r="B179" s="2" t="s">
        <v>38</v>
      </c>
      <c r="C179" s="3" t="n">
        <v>46275.3720023148</v>
      </c>
      <c r="D179" s="2" t="s">
        <v>65</v>
      </c>
      <c r="E179" s="2" t="n">
        <v>1500</v>
      </c>
      <c r="F179" s="2" t="s">
        <v>18</v>
      </c>
      <c r="G179" s="2"/>
      <c r="H179" s="2" t="str">
        <f aca="false">VLOOKUP(B179,$N$2:$S$41,3,FALSE())</f>
        <v>Model-Z</v>
      </c>
      <c r="I179" s="2" t="str">
        <f aca="false">VLOOKUP(B179,$N$2:$S$41,2,FALSE())</f>
        <v>Казань, Кремлёвская</v>
      </c>
      <c r="J179" s="2" t="n">
        <f aca="false">IF(F179="success",1,0)</f>
        <v>1</v>
      </c>
      <c r="K179" s="2" t="n">
        <f aca="false">VLOOKUP(H179,Lookup!$A$4:$B$6,2,FALSE())</f>
        <v>16</v>
      </c>
    </row>
    <row r="180" customFormat="false" ht="15" hidden="false" customHeight="false" outlineLevel="0" collapsed="false">
      <c r="A180" s="2" t="s">
        <v>289</v>
      </c>
      <c r="B180" s="2" t="s">
        <v>62</v>
      </c>
      <c r="C180" s="3" t="n">
        <v>46275.496712963</v>
      </c>
      <c r="D180" s="2" t="s">
        <v>29</v>
      </c>
      <c r="E180" s="2" t="n">
        <v>0</v>
      </c>
      <c r="F180" s="2" t="s">
        <v>18</v>
      </c>
      <c r="G180" s="2"/>
      <c r="H180" s="2" t="str">
        <f aca="false">VLOOKUP(B180,$N$2:$S$41,3,FALSE())</f>
        <v>Model-X</v>
      </c>
      <c r="I180" s="2" t="str">
        <f aca="false">VLOOKUP(B180,$N$2:$S$41,2,FALSE())</f>
        <v>Казань, Баумана</v>
      </c>
      <c r="J180" s="2" t="n">
        <f aca="false">IF(F180="success",1,0)</f>
        <v>1</v>
      </c>
      <c r="K180" s="2" t="n">
        <f aca="false">VLOOKUP(H180,Lookup!$A$4:$B$6,2,FALSE())</f>
        <v>18</v>
      </c>
    </row>
    <row r="181" customFormat="false" ht="15" hidden="false" customHeight="false" outlineLevel="0" collapsed="false">
      <c r="A181" s="2" t="s">
        <v>290</v>
      </c>
      <c r="B181" s="2" t="s">
        <v>72</v>
      </c>
      <c r="C181" s="3" t="n">
        <v>46275.5850578704</v>
      </c>
      <c r="D181" s="2" t="s">
        <v>46</v>
      </c>
      <c r="E181" s="2" t="n">
        <v>1000</v>
      </c>
      <c r="F181" s="2" t="s">
        <v>18</v>
      </c>
      <c r="G181" s="2"/>
      <c r="H181" s="2" t="str">
        <f aca="false">VLOOKUP(B181,$N$2:$S$41,3,FALSE())</f>
        <v>Model-Y</v>
      </c>
      <c r="I181" s="2" t="str">
        <f aca="false">VLOOKUP(B181,$N$2:$S$41,2,FALSE())</f>
        <v>Ростов-на-Дону, Садовая</v>
      </c>
      <c r="J181" s="2" t="n">
        <f aca="false">IF(F181="success",1,0)</f>
        <v>1</v>
      </c>
      <c r="K181" s="2" t="n">
        <f aca="false">VLOOKUP(H181,Lookup!$A$4:$B$6,2,FALSE())</f>
        <v>14</v>
      </c>
    </row>
    <row r="182" customFormat="false" ht="15" hidden="false" customHeight="false" outlineLevel="0" collapsed="false">
      <c r="A182" s="2" t="s">
        <v>291</v>
      </c>
      <c r="B182" s="2" t="s">
        <v>139</v>
      </c>
      <c r="C182" s="3" t="n">
        <v>46275.621712963</v>
      </c>
      <c r="D182" s="2" t="s">
        <v>17</v>
      </c>
      <c r="E182" s="2" t="n">
        <v>3000</v>
      </c>
      <c r="F182" s="2" t="s">
        <v>18</v>
      </c>
      <c r="G182" s="2"/>
      <c r="H182" s="2" t="str">
        <f aca="false">VLOOKUP(B182,$N$2:$S$41,3,FALSE())</f>
        <v>Model-X</v>
      </c>
      <c r="I182" s="2" t="str">
        <f aca="false">VLOOKUP(B182,$N$2:$S$41,2,FALSE())</f>
        <v>Воронеж, Революции</v>
      </c>
      <c r="J182" s="2" t="n">
        <f aca="false">IF(F182="success",1,0)</f>
        <v>1</v>
      </c>
      <c r="K182" s="2" t="n">
        <f aca="false">VLOOKUP(H182,Lookup!$A$4:$B$6,2,FALSE())</f>
        <v>18</v>
      </c>
    </row>
    <row r="183" customFormat="false" ht="15" hidden="false" customHeight="false" outlineLevel="0" collapsed="false">
      <c r="A183" s="2" t="s">
        <v>292</v>
      </c>
      <c r="B183" s="2" t="s">
        <v>24</v>
      </c>
      <c r="C183" s="3" t="n">
        <v>46275.6472222222</v>
      </c>
      <c r="D183" s="2" t="s">
        <v>17</v>
      </c>
      <c r="E183" s="2" t="n">
        <v>10000</v>
      </c>
      <c r="F183" s="2" t="s">
        <v>18</v>
      </c>
      <c r="G183" s="2"/>
      <c r="H183" s="2" t="str">
        <f aca="false">VLOOKUP(B183,$N$2:$S$41,3,FALSE())</f>
        <v>Model-Y</v>
      </c>
      <c r="I183" s="2" t="str">
        <f aca="false">VLOOKUP(B183,$N$2:$S$41,2,FALSE())</f>
        <v>Москва, Арбат</v>
      </c>
      <c r="J183" s="2" t="n">
        <f aca="false">IF(F183="success",1,0)</f>
        <v>1</v>
      </c>
      <c r="K183" s="2" t="n">
        <f aca="false">VLOOKUP(H183,Lookup!$A$4:$B$6,2,FALSE())</f>
        <v>14</v>
      </c>
    </row>
    <row r="184" customFormat="false" ht="15" hidden="false" customHeight="false" outlineLevel="0" collapsed="false">
      <c r="A184" s="2" t="s">
        <v>293</v>
      </c>
      <c r="B184" s="2" t="s">
        <v>38</v>
      </c>
      <c r="C184" s="3" t="n">
        <v>46275.749525463</v>
      </c>
      <c r="D184" s="2" t="s">
        <v>17</v>
      </c>
      <c r="E184" s="2" t="n">
        <v>1000</v>
      </c>
      <c r="F184" s="2" t="s">
        <v>18</v>
      </c>
      <c r="G184" s="2"/>
      <c r="H184" s="2" t="str">
        <f aca="false">VLOOKUP(B184,$N$2:$S$41,3,FALSE())</f>
        <v>Model-Z</v>
      </c>
      <c r="I184" s="2" t="str">
        <f aca="false">VLOOKUP(B184,$N$2:$S$41,2,FALSE())</f>
        <v>Казань, Кремлёвская</v>
      </c>
      <c r="J184" s="2" t="n">
        <f aca="false">IF(F184="success",1,0)</f>
        <v>1</v>
      </c>
      <c r="K184" s="2" t="n">
        <f aca="false">VLOOKUP(H184,Lookup!$A$4:$B$6,2,FALSE())</f>
        <v>16</v>
      </c>
    </row>
    <row r="185" customFormat="false" ht="15" hidden="false" customHeight="false" outlineLevel="0" collapsed="false">
      <c r="A185" s="2" t="s">
        <v>294</v>
      </c>
      <c r="B185" s="2" t="s">
        <v>53</v>
      </c>
      <c r="C185" s="3" t="n">
        <v>46275.7925231482</v>
      </c>
      <c r="D185" s="2" t="s">
        <v>17</v>
      </c>
      <c r="E185" s="2" t="n">
        <v>10000</v>
      </c>
      <c r="F185" s="2" t="s">
        <v>18</v>
      </c>
      <c r="G185" s="2"/>
      <c r="H185" s="2" t="str">
        <f aca="false">VLOOKUP(B185,$N$2:$S$41,3,FALSE())</f>
        <v>Model-Z</v>
      </c>
      <c r="I185" s="2" t="str">
        <f aca="false">VLOOKUP(B185,$N$2:$S$41,2,FALSE())</f>
        <v>Ростов-на-Дону, Будённовский</v>
      </c>
      <c r="J185" s="2" t="n">
        <f aca="false">IF(F185="success",1,0)</f>
        <v>1</v>
      </c>
      <c r="K185" s="2" t="n">
        <f aca="false">VLOOKUP(H185,Lookup!$A$4:$B$6,2,FALSE())</f>
        <v>16</v>
      </c>
    </row>
    <row r="186" customFormat="false" ht="15" hidden="false" customHeight="false" outlineLevel="0" collapsed="false">
      <c r="A186" s="2" t="s">
        <v>295</v>
      </c>
      <c r="B186" s="2" t="s">
        <v>53</v>
      </c>
      <c r="C186" s="3" t="n">
        <v>46275.8148032407</v>
      </c>
      <c r="D186" s="2" t="s">
        <v>17</v>
      </c>
      <c r="E186" s="2" t="n">
        <v>10000</v>
      </c>
      <c r="F186" s="2" t="s">
        <v>18</v>
      </c>
      <c r="G186" s="2"/>
      <c r="H186" s="2" t="str">
        <f aca="false">VLOOKUP(B186,$N$2:$S$41,3,FALSE())</f>
        <v>Model-Z</v>
      </c>
      <c r="I186" s="2" t="str">
        <f aca="false">VLOOKUP(B186,$N$2:$S$41,2,FALSE())</f>
        <v>Ростов-на-Дону, Будённовский</v>
      </c>
      <c r="J186" s="2" t="n">
        <f aca="false">IF(F186="success",1,0)</f>
        <v>1</v>
      </c>
      <c r="K186" s="2" t="n">
        <f aca="false">VLOOKUP(H186,Lookup!$A$4:$B$6,2,FALSE())</f>
        <v>16</v>
      </c>
    </row>
    <row r="187" customFormat="false" ht="15" hidden="false" customHeight="false" outlineLevel="0" collapsed="false">
      <c r="A187" s="2" t="s">
        <v>296</v>
      </c>
      <c r="B187" s="2" t="s">
        <v>88</v>
      </c>
      <c r="C187" s="3" t="n">
        <v>46275.8172800926</v>
      </c>
      <c r="D187" s="2" t="s">
        <v>17</v>
      </c>
      <c r="E187" s="2" t="n">
        <v>5000</v>
      </c>
      <c r="F187" s="2" t="s">
        <v>18</v>
      </c>
      <c r="G187" s="2"/>
      <c r="H187" s="2" t="str">
        <f aca="false">VLOOKUP(B187,$N$2:$S$41,3,FALSE())</f>
        <v>Model-Z</v>
      </c>
      <c r="I187" s="2" t="str">
        <f aca="false">VLOOKUP(B187,$N$2:$S$41,2,FALSE())</f>
        <v>Екатеринбург, Вайнера</v>
      </c>
      <c r="J187" s="2" t="n">
        <f aca="false">IF(F187="success",1,0)</f>
        <v>1</v>
      </c>
      <c r="K187" s="2" t="n">
        <f aca="false">VLOOKUP(H187,Lookup!$A$4:$B$6,2,FALSE())</f>
        <v>16</v>
      </c>
    </row>
    <row r="188" customFormat="false" ht="15" hidden="false" customHeight="false" outlineLevel="0" collapsed="false">
      <c r="A188" s="2" t="s">
        <v>297</v>
      </c>
      <c r="B188" s="2" t="s">
        <v>118</v>
      </c>
      <c r="C188" s="3" t="n">
        <v>46275.8373032407</v>
      </c>
      <c r="D188" s="2" t="s">
        <v>17</v>
      </c>
      <c r="E188" s="2" t="n">
        <v>3000</v>
      </c>
      <c r="F188" s="2" t="s">
        <v>76</v>
      </c>
      <c r="G188" s="2" t="s">
        <v>77</v>
      </c>
      <c r="H188" s="2" t="str">
        <f aca="false">VLOOKUP(B188,$N$2:$S$41,3,FALSE())</f>
        <v>Model-X</v>
      </c>
      <c r="I188" s="2" t="str">
        <f aca="false">VLOOKUP(B188,$N$2:$S$41,2,FALSE())</f>
        <v>Самара, Молодогвардейская</v>
      </c>
      <c r="J188" s="2" t="n">
        <f aca="false">IF(F188="success",1,0)</f>
        <v>0</v>
      </c>
      <c r="K188" s="2" t="n">
        <f aca="false">VLOOKUP(H188,Lookup!$A$4:$B$6,2,FALSE())</f>
        <v>18</v>
      </c>
    </row>
    <row r="189" customFormat="false" ht="15" hidden="false" customHeight="false" outlineLevel="0" collapsed="false">
      <c r="A189" s="2" t="s">
        <v>298</v>
      </c>
      <c r="B189" s="2" t="s">
        <v>62</v>
      </c>
      <c r="C189" s="3" t="n">
        <v>46275.8957060185</v>
      </c>
      <c r="D189" s="2" t="s">
        <v>17</v>
      </c>
      <c r="E189" s="2" t="n">
        <v>3000</v>
      </c>
      <c r="F189" s="2" t="s">
        <v>18</v>
      </c>
      <c r="G189" s="2"/>
      <c r="H189" s="2" t="str">
        <f aca="false">VLOOKUP(B189,$N$2:$S$41,3,FALSE())</f>
        <v>Model-X</v>
      </c>
      <c r="I189" s="2" t="str">
        <f aca="false">VLOOKUP(B189,$N$2:$S$41,2,FALSE())</f>
        <v>Казань, Баумана</v>
      </c>
      <c r="J189" s="2" t="n">
        <f aca="false">IF(F189="success",1,0)</f>
        <v>1</v>
      </c>
      <c r="K189" s="2" t="n">
        <f aca="false">VLOOKUP(H189,Lookup!$A$4:$B$6,2,FALSE())</f>
        <v>18</v>
      </c>
    </row>
    <row r="190" customFormat="false" ht="15" hidden="false" customHeight="false" outlineLevel="0" collapsed="false">
      <c r="A190" s="2" t="s">
        <v>299</v>
      </c>
      <c r="B190" s="2" t="s">
        <v>72</v>
      </c>
      <c r="C190" s="3" t="n">
        <v>46275.8975115741</v>
      </c>
      <c r="D190" s="2" t="s">
        <v>17</v>
      </c>
      <c r="E190" s="2" t="n">
        <v>3000</v>
      </c>
      <c r="F190" s="2" t="s">
        <v>18</v>
      </c>
      <c r="G190" s="2"/>
      <c r="H190" s="2" t="str">
        <f aca="false">VLOOKUP(B190,$N$2:$S$41,3,FALSE())</f>
        <v>Model-Y</v>
      </c>
      <c r="I190" s="2" t="str">
        <f aca="false">VLOOKUP(B190,$N$2:$S$41,2,FALSE())</f>
        <v>Ростов-на-Дону, Садовая</v>
      </c>
      <c r="J190" s="2" t="n">
        <f aca="false">IF(F190="success",1,0)</f>
        <v>1</v>
      </c>
      <c r="K190" s="2" t="n">
        <f aca="false">VLOOKUP(H190,Lookup!$A$4:$B$6,2,FALSE())</f>
        <v>14</v>
      </c>
    </row>
    <row r="191" customFormat="false" ht="15" hidden="false" customHeight="false" outlineLevel="0" collapsed="false">
      <c r="A191" s="2" t="s">
        <v>300</v>
      </c>
      <c r="B191" s="2" t="s">
        <v>96</v>
      </c>
      <c r="C191" s="3" t="n">
        <v>46275.9139930556</v>
      </c>
      <c r="D191" s="2" t="s">
        <v>46</v>
      </c>
      <c r="E191" s="2" t="n">
        <v>15000</v>
      </c>
      <c r="F191" s="2" t="s">
        <v>76</v>
      </c>
      <c r="G191" s="2" t="s">
        <v>77</v>
      </c>
      <c r="H191" s="2" t="str">
        <f aca="false">VLOOKUP(B191,$N$2:$S$41,3,FALSE())</f>
        <v>Model-X</v>
      </c>
      <c r="I191" s="2" t="str">
        <f aca="false">VLOOKUP(B191,$N$2:$S$41,2,FALSE())</f>
        <v>Нижний Новгород, Белинского</v>
      </c>
      <c r="J191" s="2" t="n">
        <f aca="false">IF(F191="success",1,0)</f>
        <v>0</v>
      </c>
      <c r="K191" s="2" t="n">
        <f aca="false">VLOOKUP(H191,Lookup!$A$4:$B$6,2,FALSE())</f>
        <v>18</v>
      </c>
    </row>
    <row r="192" customFormat="false" ht="15" hidden="false" customHeight="false" outlineLevel="0" collapsed="false">
      <c r="A192" s="2" t="s">
        <v>301</v>
      </c>
      <c r="B192" s="2" t="s">
        <v>78</v>
      </c>
      <c r="C192" s="3" t="n">
        <v>46275.9554861111</v>
      </c>
      <c r="D192" s="2" t="s">
        <v>17</v>
      </c>
      <c r="E192" s="2" t="n">
        <v>500</v>
      </c>
      <c r="F192" s="2" t="s">
        <v>18</v>
      </c>
      <c r="G192" s="2"/>
      <c r="H192" s="2" t="str">
        <f aca="false">VLOOKUP(B192,$N$2:$S$41,3,FALSE())</f>
        <v>Model-Z</v>
      </c>
      <c r="I192" s="2" t="str">
        <f aca="false">VLOOKUP(B192,$N$2:$S$41,2,FALSE())</f>
        <v>Екатеринбург, Ленина</v>
      </c>
      <c r="J192" s="2" t="n">
        <f aca="false">IF(F192="success",1,0)</f>
        <v>1</v>
      </c>
      <c r="K192" s="2" t="n">
        <f aca="false">VLOOKUP(H192,Lookup!$A$4:$B$6,2,FALSE())</f>
        <v>16</v>
      </c>
    </row>
    <row r="193" customFormat="false" ht="15" hidden="false" customHeight="false" outlineLevel="0" collapsed="false">
      <c r="A193" s="2" t="s">
        <v>302</v>
      </c>
      <c r="B193" s="2" t="s">
        <v>111</v>
      </c>
      <c r="C193" s="3" t="n">
        <v>46276.1850462963</v>
      </c>
      <c r="D193" s="2" t="s">
        <v>17</v>
      </c>
      <c r="E193" s="2" t="n">
        <v>2000</v>
      </c>
      <c r="F193" s="2" t="s">
        <v>76</v>
      </c>
      <c r="G193" s="2" t="s">
        <v>77</v>
      </c>
      <c r="H193" s="2" t="str">
        <f aca="false">VLOOKUP(B193,$N$2:$S$41,3,FALSE())</f>
        <v>Model-X</v>
      </c>
      <c r="I193" s="2" t="str">
        <f aca="false">VLOOKUP(B193,$N$2:$S$41,2,FALSE())</f>
        <v>Самара, Ленинградская</v>
      </c>
      <c r="J193" s="2" t="n">
        <f aca="false">IF(F193="success",1,0)</f>
        <v>0</v>
      </c>
      <c r="K193" s="2" t="n">
        <f aca="false">VLOOKUP(H193,Lookup!$A$4:$B$6,2,FALSE())</f>
        <v>18</v>
      </c>
    </row>
    <row r="194" customFormat="false" ht="15" hidden="false" customHeight="false" outlineLevel="0" collapsed="false">
      <c r="A194" s="2" t="s">
        <v>303</v>
      </c>
      <c r="B194" s="2" t="s">
        <v>85</v>
      </c>
      <c r="C194" s="3" t="n">
        <v>46276.3022337963</v>
      </c>
      <c r="D194" s="2" t="s">
        <v>17</v>
      </c>
      <c r="E194" s="2" t="n">
        <v>10000</v>
      </c>
      <c r="F194" s="2" t="s">
        <v>18</v>
      </c>
      <c r="G194" s="2"/>
      <c r="H194" s="2" t="str">
        <f aca="false">VLOOKUP(B194,$N$2:$S$41,3,FALSE())</f>
        <v>Model-Y</v>
      </c>
      <c r="I194" s="2" t="str">
        <f aca="false">VLOOKUP(B194,$N$2:$S$41,2,FALSE())</f>
        <v>Екатеринбург, 8 Марта</v>
      </c>
      <c r="J194" s="2" t="n">
        <f aca="false">IF(F194="success",1,0)</f>
        <v>1</v>
      </c>
      <c r="K194" s="2" t="n">
        <f aca="false">VLOOKUP(H194,Lookup!$A$4:$B$6,2,FALSE())</f>
        <v>14</v>
      </c>
    </row>
    <row r="195" customFormat="false" ht="15" hidden="false" customHeight="false" outlineLevel="0" collapsed="false">
      <c r="A195" s="2" t="s">
        <v>304</v>
      </c>
      <c r="B195" s="2" t="s">
        <v>88</v>
      </c>
      <c r="C195" s="3" t="n">
        <v>46276.3027777778</v>
      </c>
      <c r="D195" s="2" t="s">
        <v>29</v>
      </c>
      <c r="E195" s="2" t="n">
        <v>0</v>
      </c>
      <c r="F195" s="2" t="s">
        <v>18</v>
      </c>
      <c r="G195" s="2"/>
      <c r="H195" s="2" t="str">
        <f aca="false">VLOOKUP(B195,$N$2:$S$41,3,FALSE())</f>
        <v>Model-Z</v>
      </c>
      <c r="I195" s="2" t="str">
        <f aca="false">VLOOKUP(B195,$N$2:$S$41,2,FALSE())</f>
        <v>Екатеринбург, Вайнера</v>
      </c>
      <c r="J195" s="2" t="n">
        <f aca="false">IF(F195="success",1,0)</f>
        <v>1</v>
      </c>
      <c r="K195" s="2" t="n">
        <f aca="false">VLOOKUP(H195,Lookup!$A$4:$B$6,2,FALSE())</f>
        <v>16</v>
      </c>
    </row>
    <row r="196" customFormat="false" ht="15" hidden="false" customHeight="false" outlineLevel="0" collapsed="false">
      <c r="A196" s="2" t="s">
        <v>305</v>
      </c>
      <c r="B196" s="2" t="s">
        <v>97</v>
      </c>
      <c r="C196" s="3" t="n">
        <v>46276.358587963</v>
      </c>
      <c r="D196" s="2" t="s">
        <v>17</v>
      </c>
      <c r="E196" s="2" t="n">
        <v>2000</v>
      </c>
      <c r="F196" s="2" t="s">
        <v>76</v>
      </c>
      <c r="G196" s="2" t="s">
        <v>77</v>
      </c>
      <c r="H196" s="2" t="str">
        <f aca="false">VLOOKUP(B196,$N$2:$S$41,3,FALSE())</f>
        <v>Model-X</v>
      </c>
      <c r="I196" s="2" t="str">
        <f aca="false">VLOOKUP(B196,$N$2:$S$41,2,FALSE())</f>
        <v>Новосибирск, Гоголя</v>
      </c>
      <c r="J196" s="2" t="n">
        <f aca="false">IF(F196="success",1,0)</f>
        <v>0</v>
      </c>
      <c r="K196" s="2" t="n">
        <f aca="false">VLOOKUP(H196,Lookup!$A$4:$B$6,2,FALSE())</f>
        <v>18</v>
      </c>
    </row>
    <row r="197" customFormat="false" ht="15" hidden="false" customHeight="false" outlineLevel="0" collapsed="false">
      <c r="A197" s="2" t="s">
        <v>306</v>
      </c>
      <c r="B197" s="2" t="s">
        <v>103</v>
      </c>
      <c r="C197" s="3" t="n">
        <v>46276.3683449074</v>
      </c>
      <c r="D197" s="2" t="s">
        <v>65</v>
      </c>
      <c r="E197" s="2" t="n">
        <v>7000</v>
      </c>
      <c r="F197" s="2" t="s">
        <v>18</v>
      </c>
      <c r="G197" s="2"/>
      <c r="H197" s="2" t="str">
        <f aca="false">VLOOKUP(B197,$N$2:$S$41,3,FALSE())</f>
        <v>Model-Y</v>
      </c>
      <c r="I197" s="2" t="str">
        <f aca="false">VLOOKUP(B197,$N$2:$S$41,2,FALSE())</f>
        <v>Нижний Новгород, Большая Покровская</v>
      </c>
      <c r="J197" s="2" t="n">
        <f aca="false">IF(F197="success",1,0)</f>
        <v>1</v>
      </c>
      <c r="K197" s="2" t="n">
        <f aca="false">VLOOKUP(H197,Lookup!$A$4:$B$6,2,FALSE())</f>
        <v>14</v>
      </c>
    </row>
    <row r="198" customFormat="false" ht="15" hidden="false" customHeight="false" outlineLevel="0" collapsed="false">
      <c r="A198" s="2" t="s">
        <v>307</v>
      </c>
      <c r="B198" s="2" t="s">
        <v>69</v>
      </c>
      <c r="C198" s="3" t="n">
        <v>46276.4163541667</v>
      </c>
      <c r="D198" s="2" t="s">
        <v>29</v>
      </c>
      <c r="E198" s="2" t="n">
        <v>0</v>
      </c>
      <c r="F198" s="2" t="s">
        <v>18</v>
      </c>
      <c r="G198" s="2"/>
      <c r="H198" s="2" t="str">
        <f aca="false">VLOOKUP(B198,$N$2:$S$41,3,FALSE())</f>
        <v>Model-X</v>
      </c>
      <c r="I198" s="2" t="str">
        <f aca="false">VLOOKUP(B198,$N$2:$S$41,2,FALSE())</f>
        <v>Казань, Пушкина</v>
      </c>
      <c r="J198" s="2" t="n">
        <f aca="false">IF(F198="success",1,0)</f>
        <v>1</v>
      </c>
      <c r="K198" s="2" t="n">
        <f aca="false">VLOOKUP(H198,Lookup!$A$4:$B$6,2,FALSE())</f>
        <v>18</v>
      </c>
    </row>
    <row r="199" customFormat="false" ht="15" hidden="false" customHeight="false" outlineLevel="0" collapsed="false">
      <c r="A199" s="2" t="s">
        <v>308</v>
      </c>
      <c r="B199" s="2" t="s">
        <v>81</v>
      </c>
      <c r="C199" s="3" t="n">
        <v>46276.4792708333</v>
      </c>
      <c r="D199" s="2" t="s">
        <v>29</v>
      </c>
      <c r="E199" s="2" t="n">
        <v>0</v>
      </c>
      <c r="F199" s="2" t="s">
        <v>76</v>
      </c>
      <c r="G199" s="2" t="s">
        <v>160</v>
      </c>
      <c r="H199" s="2" t="str">
        <f aca="false">VLOOKUP(B199,$N$2:$S$41,3,FALSE())</f>
        <v>Model-X</v>
      </c>
      <c r="I199" s="2" t="str">
        <f aca="false">VLOOKUP(B199,$N$2:$S$41,2,FALSE())</f>
        <v>Екатеринбург, Малышева</v>
      </c>
      <c r="J199" s="2" t="n">
        <f aca="false">IF(F199="success",1,0)</f>
        <v>0</v>
      </c>
      <c r="K199" s="2" t="n">
        <f aca="false">VLOOKUP(H199,Lookup!$A$4:$B$6,2,FALSE())</f>
        <v>18</v>
      </c>
    </row>
    <row r="200" customFormat="false" ht="15" hidden="false" customHeight="false" outlineLevel="0" collapsed="false">
      <c r="A200" s="2" t="s">
        <v>309</v>
      </c>
      <c r="B200" s="2" t="s">
        <v>47</v>
      </c>
      <c r="C200" s="3" t="n">
        <v>46276.5336111111</v>
      </c>
      <c r="D200" s="2" t="s">
        <v>17</v>
      </c>
      <c r="E200" s="2" t="n">
        <v>2000</v>
      </c>
      <c r="F200" s="2" t="s">
        <v>18</v>
      </c>
      <c r="G200" s="2"/>
      <c r="H200" s="2" t="str">
        <f aca="false">VLOOKUP(B200,$N$2:$S$41,3,FALSE())</f>
        <v>Model-X</v>
      </c>
      <c r="I200" s="2" t="str">
        <f aca="false">VLOOKUP(B200,$N$2:$S$41,2,FALSE())</f>
        <v>Санкт-Петербург, Невский пр-т</v>
      </c>
      <c r="J200" s="2" t="n">
        <f aca="false">IF(F200="success",1,0)</f>
        <v>1</v>
      </c>
      <c r="K200" s="2" t="n">
        <f aca="false">VLOOKUP(H200,Lookup!$A$4:$B$6,2,FALSE())</f>
        <v>18</v>
      </c>
    </row>
    <row r="201" customFormat="false" ht="15" hidden="false" customHeight="false" outlineLevel="0" collapsed="false">
      <c r="A201" s="2" t="s">
        <v>310</v>
      </c>
      <c r="B201" s="2" t="s">
        <v>139</v>
      </c>
      <c r="C201" s="3" t="n">
        <v>46276.6205902778</v>
      </c>
      <c r="D201" s="2" t="s">
        <v>29</v>
      </c>
      <c r="E201" s="2" t="n">
        <v>0</v>
      </c>
      <c r="F201" s="2" t="s">
        <v>18</v>
      </c>
      <c r="G201" s="2"/>
      <c r="H201" s="2" t="str">
        <f aca="false">VLOOKUP(B201,$N$2:$S$41,3,FALSE())</f>
        <v>Model-X</v>
      </c>
      <c r="I201" s="2" t="str">
        <f aca="false">VLOOKUP(B201,$N$2:$S$41,2,FALSE())</f>
        <v>Воронеж, Революции</v>
      </c>
      <c r="J201" s="2" t="n">
        <f aca="false">IF(F201="success",1,0)</f>
        <v>1</v>
      </c>
      <c r="K201" s="2" t="n">
        <f aca="false">VLOOKUP(H201,Lookup!$A$4:$B$6,2,FALSE())</f>
        <v>18</v>
      </c>
    </row>
    <row r="202" customFormat="false" ht="15" hidden="false" customHeight="false" outlineLevel="0" collapsed="false">
      <c r="A202" s="2" t="s">
        <v>311</v>
      </c>
      <c r="B202" s="2" t="s">
        <v>97</v>
      </c>
      <c r="C202" s="3" t="n">
        <v>46276.6351157407</v>
      </c>
      <c r="D202" s="2" t="s">
        <v>65</v>
      </c>
      <c r="E202" s="2" t="n">
        <v>1000</v>
      </c>
      <c r="F202" s="2" t="s">
        <v>18</v>
      </c>
      <c r="G202" s="2"/>
      <c r="H202" s="2" t="str">
        <f aca="false">VLOOKUP(B202,$N$2:$S$41,3,FALSE())</f>
        <v>Model-X</v>
      </c>
      <c r="I202" s="2" t="str">
        <f aca="false">VLOOKUP(B202,$N$2:$S$41,2,FALSE())</f>
        <v>Новосибирск, Гоголя</v>
      </c>
      <c r="J202" s="2" t="n">
        <f aca="false">IF(F202="success",1,0)</f>
        <v>1</v>
      </c>
      <c r="K202" s="2" t="n">
        <f aca="false">VLOOKUP(H202,Lookup!$A$4:$B$6,2,FALSE())</f>
        <v>18</v>
      </c>
    </row>
    <row r="203" customFormat="false" ht="15" hidden="false" customHeight="false" outlineLevel="0" collapsed="false">
      <c r="A203" s="2" t="s">
        <v>312</v>
      </c>
      <c r="B203" s="2" t="s">
        <v>72</v>
      </c>
      <c r="C203" s="3" t="n">
        <v>46276.6537731482</v>
      </c>
      <c r="D203" s="2" t="s">
        <v>17</v>
      </c>
      <c r="E203" s="2" t="n">
        <v>7000</v>
      </c>
      <c r="F203" s="2" t="s">
        <v>18</v>
      </c>
      <c r="G203" s="2"/>
      <c r="H203" s="2" t="str">
        <f aca="false">VLOOKUP(B203,$N$2:$S$41,3,FALSE())</f>
        <v>Model-Y</v>
      </c>
      <c r="I203" s="2" t="str">
        <f aca="false">VLOOKUP(B203,$N$2:$S$41,2,FALSE())</f>
        <v>Ростов-на-Дону, Садовая</v>
      </c>
      <c r="J203" s="2" t="n">
        <f aca="false">IF(F203="success",1,0)</f>
        <v>1</v>
      </c>
      <c r="K203" s="2" t="n">
        <f aca="false">VLOOKUP(H203,Lookup!$A$4:$B$6,2,FALSE())</f>
        <v>14</v>
      </c>
    </row>
    <row r="204" customFormat="false" ht="15" hidden="false" customHeight="false" outlineLevel="0" collapsed="false">
      <c r="A204" s="2" t="s">
        <v>313</v>
      </c>
      <c r="B204" s="2" t="s">
        <v>30</v>
      </c>
      <c r="C204" s="3" t="n">
        <v>46276.7287962963</v>
      </c>
      <c r="D204" s="2" t="s">
        <v>65</v>
      </c>
      <c r="E204" s="2" t="n">
        <v>10000</v>
      </c>
      <c r="F204" s="2" t="s">
        <v>18</v>
      </c>
      <c r="G204" s="2"/>
      <c r="H204" s="2" t="str">
        <f aca="false">VLOOKUP(B204,$N$2:$S$41,3,FALSE())</f>
        <v>Model-Z</v>
      </c>
      <c r="I204" s="2" t="str">
        <f aca="false">VLOOKUP(B204,$N$2:$S$41,2,FALSE())</f>
        <v>Москва, Новослободская</v>
      </c>
      <c r="J204" s="2" t="n">
        <f aca="false">IF(F204="success",1,0)</f>
        <v>1</v>
      </c>
      <c r="K204" s="2" t="n">
        <f aca="false">VLOOKUP(H204,Lookup!$A$4:$B$6,2,FALSE())</f>
        <v>16</v>
      </c>
    </row>
    <row r="205" customFormat="false" ht="15" hidden="false" customHeight="false" outlineLevel="0" collapsed="false">
      <c r="A205" s="2" t="s">
        <v>314</v>
      </c>
      <c r="B205" s="2" t="s">
        <v>35</v>
      </c>
      <c r="C205" s="3" t="n">
        <v>46276.7423148148</v>
      </c>
      <c r="D205" s="2" t="s">
        <v>29</v>
      </c>
      <c r="E205" s="2" t="n">
        <v>0</v>
      </c>
      <c r="F205" s="2" t="s">
        <v>18</v>
      </c>
      <c r="G205" s="2"/>
      <c r="H205" s="2" t="str">
        <f aca="false">VLOOKUP(B205,$N$2:$S$41,3,FALSE())</f>
        <v>Model-X</v>
      </c>
      <c r="I205" s="2" t="str">
        <f aca="false">VLOOKUP(B205,$N$2:$S$41,2,FALSE())</f>
        <v>Москва, Ленинградский пр-т</v>
      </c>
      <c r="J205" s="2" t="n">
        <f aca="false">IF(F205="success",1,0)</f>
        <v>1</v>
      </c>
      <c r="K205" s="2" t="n">
        <f aca="false">VLOOKUP(H205,Lookup!$A$4:$B$6,2,FALSE())</f>
        <v>18</v>
      </c>
    </row>
    <row r="206" customFormat="false" ht="15" hidden="false" customHeight="false" outlineLevel="0" collapsed="false">
      <c r="A206" s="2" t="s">
        <v>315</v>
      </c>
      <c r="B206" s="2" t="s">
        <v>45</v>
      </c>
      <c r="C206" s="3" t="n">
        <v>46276.7867476852</v>
      </c>
      <c r="D206" s="2" t="s">
        <v>17</v>
      </c>
      <c r="E206" s="2" t="n">
        <v>1500</v>
      </c>
      <c r="F206" s="2" t="s">
        <v>18</v>
      </c>
      <c r="G206" s="2"/>
      <c r="H206" s="2" t="str">
        <f aca="false">VLOOKUP(B206,$N$2:$S$41,3,FALSE())</f>
        <v>Model-Y</v>
      </c>
      <c r="I206" s="2" t="str">
        <f aca="false">VLOOKUP(B206,$N$2:$S$41,2,FALSE())</f>
        <v>Воронеж, Плехановская</v>
      </c>
      <c r="J206" s="2" t="n">
        <f aca="false">IF(F206="success",1,0)</f>
        <v>1</v>
      </c>
      <c r="K206" s="2" t="n">
        <f aca="false">VLOOKUP(H206,Lookup!$A$4:$B$6,2,FALSE())</f>
        <v>14</v>
      </c>
    </row>
    <row r="207" customFormat="false" ht="15" hidden="false" customHeight="false" outlineLevel="0" collapsed="false">
      <c r="A207" s="2" t="s">
        <v>316</v>
      </c>
      <c r="B207" s="2" t="s">
        <v>96</v>
      </c>
      <c r="C207" s="3" t="n">
        <v>46276.8081365741</v>
      </c>
      <c r="D207" s="2" t="s">
        <v>46</v>
      </c>
      <c r="E207" s="2" t="n">
        <v>500</v>
      </c>
      <c r="F207" s="2" t="s">
        <v>18</v>
      </c>
      <c r="G207" s="2"/>
      <c r="H207" s="2" t="str">
        <f aca="false">VLOOKUP(B207,$N$2:$S$41,3,FALSE())</f>
        <v>Model-X</v>
      </c>
      <c r="I207" s="2" t="str">
        <f aca="false">VLOOKUP(B207,$N$2:$S$41,2,FALSE())</f>
        <v>Нижний Новгород, Белинского</v>
      </c>
      <c r="J207" s="2" t="n">
        <f aca="false">IF(F207="success",1,0)</f>
        <v>1</v>
      </c>
      <c r="K207" s="2" t="n">
        <f aca="false">VLOOKUP(H207,Lookup!$A$4:$B$6,2,FALSE())</f>
        <v>18</v>
      </c>
    </row>
    <row r="208" customFormat="false" ht="15" hidden="false" customHeight="false" outlineLevel="0" collapsed="false">
      <c r="A208" s="2" t="s">
        <v>317</v>
      </c>
      <c r="B208" s="2" t="s">
        <v>50</v>
      </c>
      <c r="C208" s="3" t="n">
        <v>46276.8297569445</v>
      </c>
      <c r="D208" s="2" t="s">
        <v>17</v>
      </c>
      <c r="E208" s="2" t="n">
        <v>15000</v>
      </c>
      <c r="F208" s="2" t="s">
        <v>18</v>
      </c>
      <c r="G208" s="2"/>
      <c r="H208" s="2" t="str">
        <f aca="false">VLOOKUP(B208,$N$2:$S$41,3,FALSE())</f>
        <v>Model-Y</v>
      </c>
      <c r="I208" s="2" t="str">
        <f aca="false">VLOOKUP(B208,$N$2:$S$41,2,FALSE())</f>
        <v>Санкт-Петербург, Московский пр-т</v>
      </c>
      <c r="J208" s="2" t="n">
        <f aca="false">IF(F208="success",1,0)</f>
        <v>1</v>
      </c>
      <c r="K208" s="2" t="n">
        <f aca="false">VLOOKUP(H208,Lookup!$A$4:$B$6,2,FALSE())</f>
        <v>14</v>
      </c>
    </row>
    <row r="209" customFormat="false" ht="15" hidden="false" customHeight="false" outlineLevel="0" collapsed="false">
      <c r="A209" s="2" t="s">
        <v>318</v>
      </c>
      <c r="B209" s="2" t="s">
        <v>130</v>
      </c>
      <c r="C209" s="3" t="n">
        <v>46276.8702083333</v>
      </c>
      <c r="D209" s="2" t="s">
        <v>17</v>
      </c>
      <c r="E209" s="2" t="n">
        <v>500</v>
      </c>
      <c r="F209" s="2" t="s">
        <v>18</v>
      </c>
      <c r="G209" s="2"/>
      <c r="H209" s="2" t="str">
        <f aca="false">VLOOKUP(B209,$N$2:$S$41,3,FALSE())</f>
        <v>Model-Z</v>
      </c>
      <c r="I209" s="2" t="str">
        <f aca="false">VLOOKUP(B209,$N$2:$S$41,2,FALSE())</f>
        <v>Краснодар, Северная</v>
      </c>
      <c r="J209" s="2" t="n">
        <f aca="false">IF(F209="success",1,0)</f>
        <v>1</v>
      </c>
      <c r="K209" s="2" t="n">
        <f aca="false">VLOOKUP(H209,Lookup!$A$4:$B$6,2,FALSE())</f>
        <v>16</v>
      </c>
    </row>
    <row r="210" customFormat="false" ht="15" hidden="false" customHeight="false" outlineLevel="0" collapsed="false">
      <c r="A210" s="2" t="s">
        <v>319</v>
      </c>
      <c r="B210" s="2" t="s">
        <v>28</v>
      </c>
      <c r="C210" s="3" t="n">
        <v>46276.875</v>
      </c>
      <c r="D210" s="2" t="s">
        <v>17</v>
      </c>
      <c r="E210" s="2" t="n">
        <v>500</v>
      </c>
      <c r="F210" s="2" t="s">
        <v>18</v>
      </c>
      <c r="G210" s="2"/>
      <c r="H210" s="2" t="str">
        <f aca="false">VLOOKUP(B210,$N$2:$S$41,3,FALSE())</f>
        <v>Model-X</v>
      </c>
      <c r="I210" s="2" t="str">
        <f aca="false">VLOOKUP(B210,$N$2:$S$41,2,FALSE())</f>
        <v>Новосибирск, Дуси Ковальчук</v>
      </c>
      <c r="J210" s="2" t="n">
        <f aca="false">IF(F210="success",1,0)</f>
        <v>1</v>
      </c>
      <c r="K210" s="2" t="n">
        <f aca="false">VLOOKUP(H210,Lookup!$A$4:$B$6,2,FALSE())</f>
        <v>18</v>
      </c>
    </row>
    <row r="211" customFormat="false" ht="15" hidden="false" customHeight="false" outlineLevel="0" collapsed="false">
      <c r="A211" s="2" t="s">
        <v>320</v>
      </c>
      <c r="B211" s="2" t="s">
        <v>50</v>
      </c>
      <c r="C211" s="3" t="n">
        <v>46276.915787037</v>
      </c>
      <c r="D211" s="2" t="s">
        <v>17</v>
      </c>
      <c r="E211" s="2" t="n">
        <v>1500</v>
      </c>
      <c r="F211" s="2" t="s">
        <v>18</v>
      </c>
      <c r="G211" s="2"/>
      <c r="H211" s="2" t="str">
        <f aca="false">VLOOKUP(B211,$N$2:$S$41,3,FALSE())</f>
        <v>Model-Y</v>
      </c>
      <c r="I211" s="2" t="str">
        <f aca="false">VLOOKUP(B211,$N$2:$S$41,2,FALSE())</f>
        <v>Санкт-Петербург, Московский пр-т</v>
      </c>
      <c r="J211" s="2" t="n">
        <f aca="false">IF(F211="success",1,0)</f>
        <v>1</v>
      </c>
      <c r="K211" s="2" t="n">
        <f aca="false">VLOOKUP(H211,Lookup!$A$4:$B$6,2,FALSE())</f>
        <v>14</v>
      </c>
    </row>
    <row r="212" customFormat="false" ht="15" hidden="false" customHeight="false" outlineLevel="0" collapsed="false">
      <c r="A212" s="2" t="s">
        <v>321</v>
      </c>
      <c r="B212" s="2" t="s">
        <v>78</v>
      </c>
      <c r="C212" s="3" t="n">
        <v>46276.9309027778</v>
      </c>
      <c r="D212" s="2" t="s">
        <v>29</v>
      </c>
      <c r="E212" s="2" t="n">
        <v>0</v>
      </c>
      <c r="F212" s="2" t="s">
        <v>18</v>
      </c>
      <c r="G212" s="2"/>
      <c r="H212" s="2" t="str">
        <f aca="false">VLOOKUP(B212,$N$2:$S$41,3,FALSE())</f>
        <v>Model-Z</v>
      </c>
      <c r="I212" s="2" t="str">
        <f aca="false">VLOOKUP(B212,$N$2:$S$41,2,FALSE())</f>
        <v>Екатеринбург, Ленина</v>
      </c>
      <c r="J212" s="2" t="n">
        <f aca="false">IF(F212="success",1,0)</f>
        <v>1</v>
      </c>
      <c r="K212" s="2" t="n">
        <f aca="false">VLOOKUP(H212,Lookup!$A$4:$B$6,2,FALSE())</f>
        <v>16</v>
      </c>
    </row>
    <row r="213" customFormat="false" ht="15" hidden="false" customHeight="false" outlineLevel="0" collapsed="false">
      <c r="A213" s="2" t="s">
        <v>322</v>
      </c>
      <c r="B213" s="2" t="s">
        <v>34</v>
      </c>
      <c r="C213" s="3" t="n">
        <v>46277.1131712963</v>
      </c>
      <c r="D213" s="2" t="s">
        <v>46</v>
      </c>
      <c r="E213" s="2" t="n">
        <v>2000</v>
      </c>
      <c r="F213" s="2" t="s">
        <v>18</v>
      </c>
      <c r="G213" s="2"/>
      <c r="H213" s="2" t="str">
        <f aca="false">VLOOKUP(B213,$N$2:$S$41,3,FALSE())</f>
        <v>Model-X</v>
      </c>
      <c r="I213" s="2" t="str">
        <f aca="false">VLOOKUP(B213,$N$2:$S$41,2,FALSE())</f>
        <v>Москва, Профсоюзная</v>
      </c>
      <c r="J213" s="2" t="n">
        <f aca="false">IF(F213="success",1,0)</f>
        <v>1</v>
      </c>
      <c r="K213" s="2" t="n">
        <f aca="false">VLOOKUP(H213,Lookup!$A$4:$B$6,2,FALSE())</f>
        <v>18</v>
      </c>
    </row>
    <row r="214" customFormat="false" ht="15" hidden="false" customHeight="false" outlineLevel="0" collapsed="false">
      <c r="A214" s="2" t="s">
        <v>323</v>
      </c>
      <c r="B214" s="2" t="s">
        <v>47</v>
      </c>
      <c r="C214" s="3" t="n">
        <v>46277.2928935185</v>
      </c>
      <c r="D214" s="2" t="s">
        <v>17</v>
      </c>
      <c r="E214" s="2" t="n">
        <v>1500</v>
      </c>
      <c r="F214" s="2" t="s">
        <v>18</v>
      </c>
      <c r="G214" s="2"/>
      <c r="H214" s="2" t="str">
        <f aca="false">VLOOKUP(B214,$N$2:$S$41,3,FALSE())</f>
        <v>Model-X</v>
      </c>
      <c r="I214" s="2" t="str">
        <f aca="false">VLOOKUP(B214,$N$2:$S$41,2,FALSE())</f>
        <v>Санкт-Петербург, Невский пр-т</v>
      </c>
      <c r="J214" s="2" t="n">
        <f aca="false">IF(F214="success",1,0)</f>
        <v>1</v>
      </c>
      <c r="K214" s="2" t="n">
        <f aca="false">VLOOKUP(H214,Lookup!$A$4:$B$6,2,FALSE())</f>
        <v>18</v>
      </c>
    </row>
    <row r="215" customFormat="false" ht="15" hidden="false" customHeight="false" outlineLevel="0" collapsed="false">
      <c r="A215" s="2" t="s">
        <v>324</v>
      </c>
      <c r="B215" s="2" t="s">
        <v>50</v>
      </c>
      <c r="C215" s="3" t="n">
        <v>46277.2994907407</v>
      </c>
      <c r="D215" s="2" t="s">
        <v>17</v>
      </c>
      <c r="E215" s="2" t="n">
        <v>7000</v>
      </c>
      <c r="F215" s="2" t="s">
        <v>18</v>
      </c>
      <c r="G215" s="2"/>
      <c r="H215" s="2" t="str">
        <f aca="false">VLOOKUP(B215,$N$2:$S$41,3,FALSE())</f>
        <v>Model-Y</v>
      </c>
      <c r="I215" s="2" t="str">
        <f aca="false">VLOOKUP(B215,$N$2:$S$41,2,FALSE())</f>
        <v>Санкт-Петербург, Московский пр-т</v>
      </c>
      <c r="J215" s="2" t="n">
        <f aca="false">IF(F215="success",1,0)</f>
        <v>1</v>
      </c>
      <c r="K215" s="2" t="n">
        <f aca="false">VLOOKUP(H215,Lookup!$A$4:$B$6,2,FALSE())</f>
        <v>14</v>
      </c>
    </row>
    <row r="216" customFormat="false" ht="15" hidden="false" customHeight="false" outlineLevel="0" collapsed="false">
      <c r="A216" s="2" t="s">
        <v>325</v>
      </c>
      <c r="B216" s="2" t="s">
        <v>47</v>
      </c>
      <c r="C216" s="3" t="n">
        <v>46277.3318402778</v>
      </c>
      <c r="D216" s="2" t="s">
        <v>17</v>
      </c>
      <c r="E216" s="2" t="n">
        <v>15000</v>
      </c>
      <c r="F216" s="2" t="s">
        <v>18</v>
      </c>
      <c r="G216" s="2"/>
      <c r="H216" s="2" t="str">
        <f aca="false">VLOOKUP(B216,$N$2:$S$41,3,FALSE())</f>
        <v>Model-X</v>
      </c>
      <c r="I216" s="2" t="str">
        <f aca="false">VLOOKUP(B216,$N$2:$S$41,2,FALSE())</f>
        <v>Санкт-Петербург, Невский пр-т</v>
      </c>
      <c r="J216" s="2" t="n">
        <f aca="false">IF(F216="success",1,0)</f>
        <v>1</v>
      </c>
      <c r="K216" s="2" t="n">
        <f aca="false">VLOOKUP(H216,Lookup!$A$4:$B$6,2,FALSE())</f>
        <v>18</v>
      </c>
    </row>
    <row r="217" customFormat="false" ht="15" hidden="false" customHeight="false" outlineLevel="0" collapsed="false">
      <c r="A217" s="2" t="s">
        <v>326</v>
      </c>
      <c r="B217" s="2" t="s">
        <v>28</v>
      </c>
      <c r="C217" s="3" t="n">
        <v>46277.4063194445</v>
      </c>
      <c r="D217" s="2" t="s">
        <v>17</v>
      </c>
      <c r="E217" s="2" t="n">
        <v>2000</v>
      </c>
      <c r="F217" s="2" t="s">
        <v>18</v>
      </c>
      <c r="G217" s="2"/>
      <c r="H217" s="2" t="str">
        <f aca="false">VLOOKUP(B217,$N$2:$S$41,3,FALSE())</f>
        <v>Model-X</v>
      </c>
      <c r="I217" s="2" t="str">
        <f aca="false">VLOOKUP(B217,$N$2:$S$41,2,FALSE())</f>
        <v>Новосибирск, Дуси Ковальчук</v>
      </c>
      <c r="J217" s="2" t="n">
        <f aca="false">IF(F217="success",1,0)</f>
        <v>1</v>
      </c>
      <c r="K217" s="2" t="n">
        <f aca="false">VLOOKUP(H217,Lookup!$A$4:$B$6,2,FALSE())</f>
        <v>18</v>
      </c>
    </row>
    <row r="218" customFormat="false" ht="15" hidden="false" customHeight="false" outlineLevel="0" collapsed="false">
      <c r="A218" s="2" t="s">
        <v>327</v>
      </c>
      <c r="B218" s="2" t="s">
        <v>78</v>
      </c>
      <c r="C218" s="3" t="n">
        <v>46277.4250115741</v>
      </c>
      <c r="D218" s="2" t="s">
        <v>29</v>
      </c>
      <c r="E218" s="2" t="n">
        <v>0</v>
      </c>
      <c r="F218" s="2" t="s">
        <v>18</v>
      </c>
      <c r="G218" s="2"/>
      <c r="H218" s="2" t="str">
        <f aca="false">VLOOKUP(B218,$N$2:$S$41,3,FALSE())</f>
        <v>Model-Z</v>
      </c>
      <c r="I218" s="2" t="str">
        <f aca="false">VLOOKUP(B218,$N$2:$S$41,2,FALSE())</f>
        <v>Екатеринбург, Ленина</v>
      </c>
      <c r="J218" s="2" t="n">
        <f aca="false">IF(F218="success",1,0)</f>
        <v>1</v>
      </c>
      <c r="K218" s="2" t="n">
        <f aca="false">VLOOKUP(H218,Lookup!$A$4:$B$6,2,FALSE())</f>
        <v>16</v>
      </c>
    </row>
    <row r="219" customFormat="false" ht="15" hidden="false" customHeight="false" outlineLevel="0" collapsed="false">
      <c r="A219" s="2" t="s">
        <v>328</v>
      </c>
      <c r="B219" s="2" t="s">
        <v>35</v>
      </c>
      <c r="C219" s="3" t="n">
        <v>46277.4418171296</v>
      </c>
      <c r="D219" s="2" t="s">
        <v>17</v>
      </c>
      <c r="E219" s="2" t="n">
        <v>15000</v>
      </c>
      <c r="F219" s="2" t="s">
        <v>18</v>
      </c>
      <c r="G219" s="2"/>
      <c r="H219" s="2" t="str">
        <f aca="false">VLOOKUP(B219,$N$2:$S$41,3,FALSE())</f>
        <v>Model-X</v>
      </c>
      <c r="I219" s="2" t="str">
        <f aca="false">VLOOKUP(B219,$N$2:$S$41,2,FALSE())</f>
        <v>Москва, Ленинградский пр-т</v>
      </c>
      <c r="J219" s="2" t="n">
        <f aca="false">IF(F219="success",1,0)</f>
        <v>1</v>
      </c>
      <c r="K219" s="2" t="n">
        <f aca="false">VLOOKUP(H219,Lookup!$A$4:$B$6,2,FALSE())</f>
        <v>18</v>
      </c>
    </row>
    <row r="220" customFormat="false" ht="15" hidden="false" customHeight="false" outlineLevel="0" collapsed="false">
      <c r="A220" s="2" t="s">
        <v>329</v>
      </c>
      <c r="B220" s="2" t="s">
        <v>88</v>
      </c>
      <c r="C220" s="3" t="n">
        <v>46277.4584837963</v>
      </c>
      <c r="D220" s="2" t="s">
        <v>29</v>
      </c>
      <c r="E220" s="2" t="n">
        <v>0</v>
      </c>
      <c r="F220" s="2" t="s">
        <v>18</v>
      </c>
      <c r="G220" s="2"/>
      <c r="H220" s="2" t="str">
        <f aca="false">VLOOKUP(B220,$N$2:$S$41,3,FALSE())</f>
        <v>Model-Z</v>
      </c>
      <c r="I220" s="2" t="str">
        <f aca="false">VLOOKUP(B220,$N$2:$S$41,2,FALSE())</f>
        <v>Екатеринбург, Вайнера</v>
      </c>
      <c r="J220" s="2" t="n">
        <f aca="false">IF(F220="success",1,0)</f>
        <v>1</v>
      </c>
      <c r="K220" s="2" t="n">
        <f aca="false">VLOOKUP(H220,Lookup!$A$4:$B$6,2,FALSE())</f>
        <v>16</v>
      </c>
    </row>
    <row r="221" customFormat="false" ht="15" hidden="false" customHeight="false" outlineLevel="0" collapsed="false">
      <c r="A221" s="2" t="s">
        <v>330</v>
      </c>
      <c r="B221" s="2" t="s">
        <v>50</v>
      </c>
      <c r="C221" s="3" t="n">
        <v>46277.4753356482</v>
      </c>
      <c r="D221" s="2" t="s">
        <v>46</v>
      </c>
      <c r="E221" s="2" t="n">
        <v>7000</v>
      </c>
      <c r="F221" s="2" t="s">
        <v>18</v>
      </c>
      <c r="G221" s="2"/>
      <c r="H221" s="2" t="str">
        <f aca="false">VLOOKUP(B221,$N$2:$S$41,3,FALSE())</f>
        <v>Model-Y</v>
      </c>
      <c r="I221" s="2" t="str">
        <f aca="false">VLOOKUP(B221,$N$2:$S$41,2,FALSE())</f>
        <v>Санкт-Петербург, Московский пр-т</v>
      </c>
      <c r="J221" s="2" t="n">
        <f aca="false">IF(F221="success",1,0)</f>
        <v>1</v>
      </c>
      <c r="K221" s="2" t="n">
        <f aca="false">VLOOKUP(H221,Lookup!$A$4:$B$6,2,FALSE())</f>
        <v>14</v>
      </c>
    </row>
    <row r="222" customFormat="false" ht="15" hidden="false" customHeight="false" outlineLevel="0" collapsed="false">
      <c r="A222" s="2" t="s">
        <v>331</v>
      </c>
      <c r="B222" s="2" t="s">
        <v>35</v>
      </c>
      <c r="C222" s="3" t="n">
        <v>46277.4895833333</v>
      </c>
      <c r="D222" s="2" t="s">
        <v>29</v>
      </c>
      <c r="E222" s="2" t="n">
        <v>0</v>
      </c>
      <c r="F222" s="2" t="s">
        <v>18</v>
      </c>
      <c r="G222" s="2"/>
      <c r="H222" s="2" t="str">
        <f aca="false">VLOOKUP(B222,$N$2:$S$41,3,FALSE())</f>
        <v>Model-X</v>
      </c>
      <c r="I222" s="2" t="str">
        <f aca="false">VLOOKUP(B222,$N$2:$S$41,2,FALSE())</f>
        <v>Москва, Ленинградский пр-т</v>
      </c>
      <c r="J222" s="2" t="n">
        <f aca="false">IF(F222="success",1,0)</f>
        <v>1</v>
      </c>
      <c r="K222" s="2" t="n">
        <f aca="false">VLOOKUP(H222,Lookup!$A$4:$B$6,2,FALSE())</f>
        <v>18</v>
      </c>
    </row>
    <row r="223" customFormat="false" ht="15" hidden="false" customHeight="false" outlineLevel="0" collapsed="false">
      <c r="A223" s="2" t="s">
        <v>332</v>
      </c>
      <c r="B223" s="2" t="s">
        <v>93</v>
      </c>
      <c r="C223" s="3" t="n">
        <v>46277.4898958333</v>
      </c>
      <c r="D223" s="2" t="s">
        <v>46</v>
      </c>
      <c r="E223" s="2" t="n">
        <v>2000</v>
      </c>
      <c r="F223" s="2" t="s">
        <v>18</v>
      </c>
      <c r="G223" s="2"/>
      <c r="H223" s="2" t="str">
        <f aca="false">VLOOKUP(B223,$N$2:$S$41,3,FALSE())</f>
        <v>Model-Y</v>
      </c>
      <c r="I223" s="2" t="str">
        <f aca="false">VLOOKUP(B223,$N$2:$S$41,2,FALSE())</f>
        <v>Новосибирск, Ленина</v>
      </c>
      <c r="J223" s="2" t="n">
        <f aca="false">IF(F223="success",1,0)</f>
        <v>1</v>
      </c>
      <c r="K223" s="2" t="n">
        <f aca="false">VLOOKUP(H223,Lookup!$A$4:$B$6,2,FALSE())</f>
        <v>14</v>
      </c>
    </row>
    <row r="224" customFormat="false" ht="15" hidden="false" customHeight="false" outlineLevel="0" collapsed="false">
      <c r="A224" s="2" t="s">
        <v>333</v>
      </c>
      <c r="B224" s="2" t="s">
        <v>50</v>
      </c>
      <c r="C224" s="3" t="n">
        <v>46277.4937152778</v>
      </c>
      <c r="D224" s="2" t="s">
        <v>65</v>
      </c>
      <c r="E224" s="2" t="n">
        <v>5000</v>
      </c>
      <c r="F224" s="2" t="s">
        <v>18</v>
      </c>
      <c r="G224" s="2"/>
      <c r="H224" s="2" t="str">
        <f aca="false">VLOOKUP(B224,$N$2:$S$41,3,FALSE())</f>
        <v>Model-Y</v>
      </c>
      <c r="I224" s="2" t="str">
        <f aca="false">VLOOKUP(B224,$N$2:$S$41,2,FALSE())</f>
        <v>Санкт-Петербург, Московский пр-т</v>
      </c>
      <c r="J224" s="2" t="n">
        <f aca="false">IF(F224="success",1,0)</f>
        <v>1</v>
      </c>
      <c r="K224" s="2" t="n">
        <f aca="false">VLOOKUP(H224,Lookup!$A$4:$B$6,2,FALSE())</f>
        <v>14</v>
      </c>
    </row>
    <row r="225" customFormat="false" ht="15" hidden="false" customHeight="false" outlineLevel="0" collapsed="false">
      <c r="A225" s="2" t="s">
        <v>334</v>
      </c>
      <c r="B225" s="2" t="s">
        <v>62</v>
      </c>
      <c r="C225" s="3" t="n">
        <v>46277.5309375</v>
      </c>
      <c r="D225" s="2" t="s">
        <v>17</v>
      </c>
      <c r="E225" s="2" t="n">
        <v>1000</v>
      </c>
      <c r="F225" s="2" t="s">
        <v>18</v>
      </c>
      <c r="G225" s="2"/>
      <c r="H225" s="2" t="str">
        <f aca="false">VLOOKUP(B225,$N$2:$S$41,3,FALSE())</f>
        <v>Model-X</v>
      </c>
      <c r="I225" s="2" t="str">
        <f aca="false">VLOOKUP(B225,$N$2:$S$41,2,FALSE())</f>
        <v>Казань, Баумана</v>
      </c>
      <c r="J225" s="2" t="n">
        <f aca="false">IF(F225="success",1,0)</f>
        <v>1</v>
      </c>
      <c r="K225" s="2" t="n">
        <f aca="false">VLOOKUP(H225,Lookup!$A$4:$B$6,2,FALSE())</f>
        <v>18</v>
      </c>
    </row>
    <row r="226" customFormat="false" ht="15" hidden="false" customHeight="false" outlineLevel="0" collapsed="false">
      <c r="A226" s="2" t="s">
        <v>335</v>
      </c>
      <c r="B226" s="2" t="s">
        <v>30</v>
      </c>
      <c r="C226" s="3" t="n">
        <v>46277.5592708333</v>
      </c>
      <c r="D226" s="2" t="s">
        <v>17</v>
      </c>
      <c r="E226" s="2" t="n">
        <v>2000</v>
      </c>
      <c r="F226" s="2" t="s">
        <v>18</v>
      </c>
      <c r="G226" s="2"/>
      <c r="H226" s="2" t="str">
        <f aca="false">VLOOKUP(B226,$N$2:$S$41,3,FALSE())</f>
        <v>Model-Z</v>
      </c>
      <c r="I226" s="2" t="str">
        <f aca="false">VLOOKUP(B226,$N$2:$S$41,2,FALSE())</f>
        <v>Москва, Новослободская</v>
      </c>
      <c r="J226" s="2" t="n">
        <f aca="false">IF(F226="success",1,0)</f>
        <v>1</v>
      </c>
      <c r="K226" s="2" t="n">
        <f aca="false">VLOOKUP(H226,Lookup!$A$4:$B$6,2,FALSE())</f>
        <v>16</v>
      </c>
    </row>
    <row r="227" customFormat="false" ht="15" hidden="false" customHeight="false" outlineLevel="0" collapsed="false">
      <c r="A227" s="2" t="s">
        <v>336</v>
      </c>
      <c r="B227" s="2" t="s">
        <v>24</v>
      </c>
      <c r="C227" s="3" t="n">
        <v>46277.6094675926</v>
      </c>
      <c r="D227" s="2" t="s">
        <v>29</v>
      </c>
      <c r="E227" s="2" t="n">
        <v>0</v>
      </c>
      <c r="F227" s="2" t="s">
        <v>18</v>
      </c>
      <c r="G227" s="2"/>
      <c r="H227" s="2" t="str">
        <f aca="false">VLOOKUP(B227,$N$2:$S$41,3,FALSE())</f>
        <v>Model-Y</v>
      </c>
      <c r="I227" s="2" t="str">
        <f aca="false">VLOOKUP(B227,$N$2:$S$41,2,FALSE())</f>
        <v>Москва, Арбат</v>
      </c>
      <c r="J227" s="2" t="n">
        <f aca="false">IF(F227="success",1,0)</f>
        <v>1</v>
      </c>
      <c r="K227" s="2" t="n">
        <f aca="false">VLOOKUP(H227,Lookup!$A$4:$B$6,2,FALSE())</f>
        <v>14</v>
      </c>
    </row>
    <row r="228" customFormat="false" ht="15" hidden="false" customHeight="false" outlineLevel="0" collapsed="false">
      <c r="A228" s="2" t="s">
        <v>337</v>
      </c>
      <c r="B228" s="2" t="s">
        <v>45</v>
      </c>
      <c r="C228" s="3" t="n">
        <v>46277.6341319445</v>
      </c>
      <c r="D228" s="2" t="s">
        <v>29</v>
      </c>
      <c r="E228" s="2" t="n">
        <v>0</v>
      </c>
      <c r="F228" s="2" t="s">
        <v>18</v>
      </c>
      <c r="G228" s="2"/>
      <c r="H228" s="2" t="str">
        <f aca="false">VLOOKUP(B228,$N$2:$S$41,3,FALSE())</f>
        <v>Model-Y</v>
      </c>
      <c r="I228" s="2" t="str">
        <f aca="false">VLOOKUP(B228,$N$2:$S$41,2,FALSE())</f>
        <v>Воронеж, Плехановская</v>
      </c>
      <c r="J228" s="2" t="n">
        <f aca="false">IF(F228="success",1,0)</f>
        <v>1</v>
      </c>
      <c r="K228" s="2" t="n">
        <f aca="false">VLOOKUP(H228,Lookup!$A$4:$B$6,2,FALSE())</f>
        <v>14</v>
      </c>
    </row>
    <row r="229" customFormat="false" ht="15" hidden="false" customHeight="false" outlineLevel="0" collapsed="false">
      <c r="A229" s="2" t="s">
        <v>338</v>
      </c>
      <c r="B229" s="2" t="s">
        <v>50</v>
      </c>
      <c r="C229" s="3" t="n">
        <v>46277.7490625</v>
      </c>
      <c r="D229" s="2" t="s">
        <v>46</v>
      </c>
      <c r="E229" s="2" t="n">
        <v>1000</v>
      </c>
      <c r="F229" s="2" t="s">
        <v>18</v>
      </c>
      <c r="G229" s="2"/>
      <c r="H229" s="2" t="str">
        <f aca="false">VLOOKUP(B229,$N$2:$S$41,3,FALSE())</f>
        <v>Model-Y</v>
      </c>
      <c r="I229" s="2" t="str">
        <f aca="false">VLOOKUP(B229,$N$2:$S$41,2,FALSE())</f>
        <v>Санкт-Петербург, Московский пр-т</v>
      </c>
      <c r="J229" s="2" t="n">
        <f aca="false">IF(F229="success",1,0)</f>
        <v>1</v>
      </c>
      <c r="K229" s="2" t="n">
        <f aca="false">VLOOKUP(H229,Lookup!$A$4:$B$6,2,FALSE())</f>
        <v>14</v>
      </c>
    </row>
    <row r="230" customFormat="false" ht="15" hidden="false" customHeight="false" outlineLevel="0" collapsed="false">
      <c r="A230" s="2" t="s">
        <v>339</v>
      </c>
      <c r="B230" s="2" t="s">
        <v>97</v>
      </c>
      <c r="C230" s="3" t="n">
        <v>46277.7887152778</v>
      </c>
      <c r="D230" s="2" t="s">
        <v>29</v>
      </c>
      <c r="E230" s="2" t="n">
        <v>0</v>
      </c>
      <c r="F230" s="2" t="s">
        <v>76</v>
      </c>
      <c r="G230" s="2" t="s">
        <v>160</v>
      </c>
      <c r="H230" s="2" t="str">
        <f aca="false">VLOOKUP(B230,$N$2:$S$41,3,FALSE())</f>
        <v>Model-X</v>
      </c>
      <c r="I230" s="2" t="str">
        <f aca="false">VLOOKUP(B230,$N$2:$S$41,2,FALSE())</f>
        <v>Новосибирск, Гоголя</v>
      </c>
      <c r="J230" s="2" t="n">
        <f aca="false">IF(F230="success",1,0)</f>
        <v>0</v>
      </c>
      <c r="K230" s="2" t="n">
        <f aca="false">VLOOKUP(H230,Lookup!$A$4:$B$6,2,FALSE())</f>
        <v>18</v>
      </c>
    </row>
    <row r="231" customFormat="false" ht="15" hidden="false" customHeight="false" outlineLevel="0" collapsed="false">
      <c r="A231" s="2" t="s">
        <v>340</v>
      </c>
      <c r="B231" s="2" t="s">
        <v>130</v>
      </c>
      <c r="C231" s="3" t="n">
        <v>46277.8366319445</v>
      </c>
      <c r="D231" s="2" t="s">
        <v>29</v>
      </c>
      <c r="E231" s="2" t="n">
        <v>0</v>
      </c>
      <c r="F231" s="2" t="s">
        <v>18</v>
      </c>
      <c r="G231" s="2"/>
      <c r="H231" s="2" t="str">
        <f aca="false">VLOOKUP(B231,$N$2:$S$41,3,FALSE())</f>
        <v>Model-Z</v>
      </c>
      <c r="I231" s="2" t="str">
        <f aca="false">VLOOKUP(B231,$N$2:$S$41,2,FALSE())</f>
        <v>Краснодар, Северная</v>
      </c>
      <c r="J231" s="2" t="n">
        <f aca="false">IF(F231="success",1,0)</f>
        <v>1</v>
      </c>
      <c r="K231" s="2" t="n">
        <f aca="false">VLOOKUP(H231,Lookup!$A$4:$B$6,2,FALSE())</f>
        <v>16</v>
      </c>
    </row>
    <row r="232" customFormat="false" ht="15" hidden="false" customHeight="false" outlineLevel="0" collapsed="false">
      <c r="A232" s="2" t="s">
        <v>341</v>
      </c>
      <c r="B232" s="2" t="s">
        <v>139</v>
      </c>
      <c r="C232" s="3" t="n">
        <v>46277.8486111111</v>
      </c>
      <c r="D232" s="2" t="s">
        <v>17</v>
      </c>
      <c r="E232" s="2" t="n">
        <v>10000</v>
      </c>
      <c r="F232" s="2" t="s">
        <v>18</v>
      </c>
      <c r="G232" s="2"/>
      <c r="H232" s="2" t="str">
        <f aca="false">VLOOKUP(B232,$N$2:$S$41,3,FALSE())</f>
        <v>Model-X</v>
      </c>
      <c r="I232" s="2" t="str">
        <f aca="false">VLOOKUP(B232,$N$2:$S$41,2,FALSE())</f>
        <v>Воронеж, Революции</v>
      </c>
      <c r="J232" s="2" t="n">
        <f aca="false">IF(F232="success",1,0)</f>
        <v>1</v>
      </c>
      <c r="K232" s="2" t="n">
        <f aca="false">VLOOKUP(H232,Lookup!$A$4:$B$6,2,FALSE())</f>
        <v>18</v>
      </c>
    </row>
    <row r="233" customFormat="false" ht="15" hidden="false" customHeight="false" outlineLevel="0" collapsed="false">
      <c r="A233" s="2" t="s">
        <v>342</v>
      </c>
      <c r="B233" s="2" t="s">
        <v>125</v>
      </c>
      <c r="C233" s="3" t="n">
        <v>46277.9108333333</v>
      </c>
      <c r="D233" s="2" t="s">
        <v>65</v>
      </c>
      <c r="E233" s="2" t="n">
        <v>500</v>
      </c>
      <c r="F233" s="2" t="s">
        <v>76</v>
      </c>
      <c r="G233" s="2" t="s">
        <v>160</v>
      </c>
      <c r="H233" s="2" t="str">
        <f aca="false">VLOOKUP(B233,$N$2:$S$41,3,FALSE())</f>
        <v>Model-X</v>
      </c>
      <c r="I233" s="2" t="str">
        <f aca="false">VLOOKUP(B233,$N$2:$S$41,2,FALSE())</f>
        <v>Ростов-на-Дону, Пушкинская</v>
      </c>
      <c r="J233" s="2" t="n">
        <f aca="false">IF(F233="success",1,0)</f>
        <v>0</v>
      </c>
      <c r="K233" s="2" t="n">
        <f aca="false">VLOOKUP(H233,Lookup!$A$4:$B$6,2,FALSE())</f>
        <v>18</v>
      </c>
    </row>
    <row r="234" customFormat="false" ht="15" hidden="false" customHeight="false" outlineLevel="0" collapsed="false">
      <c r="A234" s="2" t="s">
        <v>343</v>
      </c>
      <c r="B234" s="2" t="s">
        <v>62</v>
      </c>
      <c r="C234" s="3" t="n">
        <v>46277.9568634259</v>
      </c>
      <c r="D234" s="2" t="s">
        <v>29</v>
      </c>
      <c r="E234" s="2" t="n">
        <v>0</v>
      </c>
      <c r="F234" s="2" t="s">
        <v>18</v>
      </c>
      <c r="G234" s="2"/>
      <c r="H234" s="2" t="str">
        <f aca="false">VLOOKUP(B234,$N$2:$S$41,3,FALSE())</f>
        <v>Model-X</v>
      </c>
      <c r="I234" s="2" t="str">
        <f aca="false">VLOOKUP(B234,$N$2:$S$41,2,FALSE())</f>
        <v>Казань, Баумана</v>
      </c>
      <c r="J234" s="2" t="n">
        <f aca="false">IF(F234="success",1,0)</f>
        <v>1</v>
      </c>
      <c r="K234" s="2" t="n">
        <f aca="false">VLOOKUP(H234,Lookup!$A$4:$B$6,2,FALSE())</f>
        <v>18</v>
      </c>
    </row>
    <row r="235" customFormat="false" ht="15" hidden="false" customHeight="false" outlineLevel="0" collapsed="false">
      <c r="A235" s="2" t="s">
        <v>344</v>
      </c>
      <c r="B235" s="2" t="s">
        <v>39</v>
      </c>
      <c r="C235" s="3" t="n">
        <v>46278.2566087963</v>
      </c>
      <c r="D235" s="2" t="s">
        <v>17</v>
      </c>
      <c r="E235" s="2" t="n">
        <v>7000</v>
      </c>
      <c r="F235" s="2" t="s">
        <v>18</v>
      </c>
      <c r="G235" s="2"/>
      <c r="H235" s="2" t="str">
        <f aca="false">VLOOKUP(B235,$N$2:$S$41,3,FALSE())</f>
        <v>Model-Y</v>
      </c>
      <c r="I235" s="2" t="str">
        <f aca="false">VLOOKUP(B235,$N$2:$S$41,2,FALSE())</f>
        <v>Москва, Кутузовский пр-т</v>
      </c>
      <c r="J235" s="2" t="n">
        <f aca="false">IF(F235="success",1,0)</f>
        <v>1</v>
      </c>
      <c r="K235" s="2" t="n">
        <f aca="false">VLOOKUP(H235,Lookup!$A$4:$B$6,2,FALSE())</f>
        <v>14</v>
      </c>
    </row>
    <row r="236" customFormat="false" ht="15" hidden="false" customHeight="false" outlineLevel="0" collapsed="false">
      <c r="A236" s="2" t="s">
        <v>345</v>
      </c>
      <c r="B236" s="2" t="s">
        <v>35</v>
      </c>
      <c r="C236" s="3" t="n">
        <v>46278.3188541667</v>
      </c>
      <c r="D236" s="2" t="s">
        <v>29</v>
      </c>
      <c r="E236" s="2" t="n">
        <v>0</v>
      </c>
      <c r="F236" s="2" t="s">
        <v>18</v>
      </c>
      <c r="G236" s="2"/>
      <c r="H236" s="2" t="str">
        <f aca="false">VLOOKUP(B236,$N$2:$S$41,3,FALSE())</f>
        <v>Model-X</v>
      </c>
      <c r="I236" s="2" t="str">
        <f aca="false">VLOOKUP(B236,$N$2:$S$41,2,FALSE())</f>
        <v>Москва, Ленинградский пр-т</v>
      </c>
      <c r="J236" s="2" t="n">
        <f aca="false">IF(F236="success",1,0)</f>
        <v>1</v>
      </c>
      <c r="K236" s="2" t="n">
        <f aca="false">VLOOKUP(H236,Lookup!$A$4:$B$6,2,FALSE())</f>
        <v>18</v>
      </c>
    </row>
    <row r="237" customFormat="false" ht="15" hidden="false" customHeight="false" outlineLevel="0" collapsed="false">
      <c r="A237" s="2" t="s">
        <v>346</v>
      </c>
      <c r="B237" s="2" t="s">
        <v>45</v>
      </c>
      <c r="C237" s="3" t="n">
        <v>46278.362650463</v>
      </c>
      <c r="D237" s="2" t="s">
        <v>65</v>
      </c>
      <c r="E237" s="2" t="n">
        <v>3000</v>
      </c>
      <c r="F237" s="2" t="s">
        <v>18</v>
      </c>
      <c r="G237" s="2"/>
      <c r="H237" s="2" t="str">
        <f aca="false">VLOOKUP(B237,$N$2:$S$41,3,FALSE())</f>
        <v>Model-Y</v>
      </c>
      <c r="I237" s="2" t="str">
        <f aca="false">VLOOKUP(B237,$N$2:$S$41,2,FALSE())</f>
        <v>Воронеж, Плехановская</v>
      </c>
      <c r="J237" s="2" t="n">
        <f aca="false">IF(F237="success",1,0)</f>
        <v>1</v>
      </c>
      <c r="K237" s="2" t="n">
        <f aca="false">VLOOKUP(H237,Lookup!$A$4:$B$6,2,FALSE())</f>
        <v>14</v>
      </c>
    </row>
    <row r="238" customFormat="false" ht="15" hidden="false" customHeight="false" outlineLevel="0" collapsed="false">
      <c r="A238" s="2" t="s">
        <v>347</v>
      </c>
      <c r="B238" s="2" t="s">
        <v>58</v>
      </c>
      <c r="C238" s="3" t="n">
        <v>46278.3644675926</v>
      </c>
      <c r="D238" s="2" t="s">
        <v>46</v>
      </c>
      <c r="E238" s="2" t="n">
        <v>1500</v>
      </c>
      <c r="F238" s="2" t="s">
        <v>18</v>
      </c>
      <c r="G238" s="2"/>
      <c r="H238" s="2" t="str">
        <f aca="false">VLOOKUP(B238,$N$2:$S$41,3,FALSE())</f>
        <v>Model-Y</v>
      </c>
      <c r="I238" s="2" t="str">
        <f aca="false">VLOOKUP(B238,$N$2:$S$41,2,FALSE())</f>
        <v>Краснодар, Красная</v>
      </c>
      <c r="J238" s="2" t="n">
        <f aca="false">IF(F238="success",1,0)</f>
        <v>1</v>
      </c>
      <c r="K238" s="2" t="n">
        <f aca="false">VLOOKUP(H238,Lookup!$A$4:$B$6,2,FALSE())</f>
        <v>14</v>
      </c>
    </row>
    <row r="239" customFormat="false" ht="15" hidden="false" customHeight="false" outlineLevel="0" collapsed="false">
      <c r="A239" s="2" t="s">
        <v>348</v>
      </c>
      <c r="B239" s="2" t="s">
        <v>118</v>
      </c>
      <c r="C239" s="3" t="n">
        <v>46278.37875</v>
      </c>
      <c r="D239" s="2" t="s">
        <v>17</v>
      </c>
      <c r="E239" s="2" t="n">
        <v>1500</v>
      </c>
      <c r="F239" s="2" t="s">
        <v>18</v>
      </c>
      <c r="G239" s="2"/>
      <c r="H239" s="2" t="str">
        <f aca="false">VLOOKUP(B239,$N$2:$S$41,3,FALSE())</f>
        <v>Model-X</v>
      </c>
      <c r="I239" s="2" t="str">
        <f aca="false">VLOOKUP(B239,$N$2:$S$41,2,FALSE())</f>
        <v>Самара, Молодогвардейская</v>
      </c>
      <c r="J239" s="2" t="n">
        <f aca="false">IF(F239="success",1,0)</f>
        <v>1</v>
      </c>
      <c r="K239" s="2" t="n">
        <f aca="false">VLOOKUP(H239,Lookup!$A$4:$B$6,2,FALSE())</f>
        <v>18</v>
      </c>
    </row>
    <row r="240" customFormat="false" ht="15" hidden="false" customHeight="false" outlineLevel="0" collapsed="false">
      <c r="A240" s="2" t="s">
        <v>349</v>
      </c>
      <c r="B240" s="2" t="s">
        <v>50</v>
      </c>
      <c r="C240" s="3" t="n">
        <v>46278.4464699074</v>
      </c>
      <c r="D240" s="2" t="s">
        <v>29</v>
      </c>
      <c r="E240" s="2" t="n">
        <v>0</v>
      </c>
      <c r="F240" s="2" t="s">
        <v>18</v>
      </c>
      <c r="G240" s="2"/>
      <c r="H240" s="2" t="str">
        <f aca="false">VLOOKUP(B240,$N$2:$S$41,3,FALSE())</f>
        <v>Model-Y</v>
      </c>
      <c r="I240" s="2" t="str">
        <f aca="false">VLOOKUP(B240,$N$2:$S$41,2,FALSE())</f>
        <v>Санкт-Петербург, Московский пр-т</v>
      </c>
      <c r="J240" s="2" t="n">
        <f aca="false">IF(F240="success",1,0)</f>
        <v>1</v>
      </c>
      <c r="K240" s="2" t="n">
        <f aca="false">VLOOKUP(H240,Lookup!$A$4:$B$6,2,FALSE())</f>
        <v>14</v>
      </c>
    </row>
    <row r="241" customFormat="false" ht="15" hidden="false" customHeight="false" outlineLevel="0" collapsed="false">
      <c r="A241" s="2" t="s">
        <v>350</v>
      </c>
      <c r="B241" s="2" t="s">
        <v>103</v>
      </c>
      <c r="C241" s="3" t="n">
        <v>46278.4915393519</v>
      </c>
      <c r="D241" s="2" t="s">
        <v>17</v>
      </c>
      <c r="E241" s="2" t="n">
        <v>2000</v>
      </c>
      <c r="F241" s="2" t="s">
        <v>18</v>
      </c>
      <c r="G241" s="2"/>
      <c r="H241" s="2" t="str">
        <f aca="false">VLOOKUP(B241,$N$2:$S$41,3,FALSE())</f>
        <v>Model-Y</v>
      </c>
      <c r="I241" s="2" t="str">
        <f aca="false">VLOOKUP(B241,$N$2:$S$41,2,FALSE())</f>
        <v>Нижний Новгород, Большая Покровская</v>
      </c>
      <c r="J241" s="2" t="n">
        <f aca="false">IF(F241="success",1,0)</f>
        <v>1</v>
      </c>
      <c r="K241" s="2" t="n">
        <f aca="false">VLOOKUP(H241,Lookup!$A$4:$B$6,2,FALSE())</f>
        <v>14</v>
      </c>
    </row>
    <row r="242" customFormat="false" ht="15" hidden="false" customHeight="false" outlineLevel="0" collapsed="false">
      <c r="A242" s="2" t="s">
        <v>351</v>
      </c>
      <c r="B242" s="2" t="s">
        <v>45</v>
      </c>
      <c r="C242" s="3" t="n">
        <v>46278.5171412037</v>
      </c>
      <c r="D242" s="2" t="s">
        <v>46</v>
      </c>
      <c r="E242" s="2" t="n">
        <v>3000</v>
      </c>
      <c r="F242" s="2" t="s">
        <v>18</v>
      </c>
      <c r="G242" s="2"/>
      <c r="H242" s="2" t="str">
        <f aca="false">VLOOKUP(B242,$N$2:$S$41,3,FALSE())</f>
        <v>Model-Y</v>
      </c>
      <c r="I242" s="2" t="str">
        <f aca="false">VLOOKUP(B242,$N$2:$S$41,2,FALSE())</f>
        <v>Воронеж, Плехановская</v>
      </c>
      <c r="J242" s="2" t="n">
        <f aca="false">IF(F242="success",1,0)</f>
        <v>1</v>
      </c>
      <c r="K242" s="2" t="n">
        <f aca="false">VLOOKUP(H242,Lookup!$A$4:$B$6,2,FALSE())</f>
        <v>14</v>
      </c>
    </row>
    <row r="243" customFormat="false" ht="15" hidden="false" customHeight="false" outlineLevel="0" collapsed="false">
      <c r="A243" s="2" t="s">
        <v>352</v>
      </c>
      <c r="B243" s="2" t="s">
        <v>42</v>
      </c>
      <c r="C243" s="3" t="n">
        <v>46278.5291666667</v>
      </c>
      <c r="D243" s="2" t="s">
        <v>17</v>
      </c>
      <c r="E243" s="2" t="n">
        <v>5000</v>
      </c>
      <c r="F243" s="2" t="s">
        <v>18</v>
      </c>
      <c r="G243" s="2"/>
      <c r="H243" s="2" t="str">
        <f aca="false">VLOOKUP(B243,$N$2:$S$41,3,FALSE())</f>
        <v>Model-X</v>
      </c>
      <c r="I243" s="2" t="str">
        <f aca="false">VLOOKUP(B243,$N$2:$S$41,2,FALSE())</f>
        <v>Краснодар, Гимназическая</v>
      </c>
      <c r="J243" s="2" t="n">
        <f aca="false">IF(F243="success",1,0)</f>
        <v>1</v>
      </c>
      <c r="K243" s="2" t="n">
        <f aca="false">VLOOKUP(H243,Lookup!$A$4:$B$6,2,FALSE())</f>
        <v>18</v>
      </c>
    </row>
    <row r="244" customFormat="false" ht="15" hidden="false" customHeight="false" outlineLevel="0" collapsed="false">
      <c r="A244" s="2" t="s">
        <v>353</v>
      </c>
      <c r="B244" s="2" t="s">
        <v>53</v>
      </c>
      <c r="C244" s="3" t="n">
        <v>46278.5305208333</v>
      </c>
      <c r="D244" s="2" t="s">
        <v>29</v>
      </c>
      <c r="E244" s="2" t="n">
        <v>0</v>
      </c>
      <c r="F244" s="2" t="s">
        <v>18</v>
      </c>
      <c r="G244" s="2"/>
      <c r="H244" s="2" t="str">
        <f aca="false">VLOOKUP(B244,$N$2:$S$41,3,FALSE())</f>
        <v>Model-Z</v>
      </c>
      <c r="I244" s="2" t="str">
        <f aca="false">VLOOKUP(B244,$N$2:$S$41,2,FALSE())</f>
        <v>Ростов-на-Дону, Будённовский</v>
      </c>
      <c r="J244" s="2" t="n">
        <f aca="false">IF(F244="success",1,0)</f>
        <v>1</v>
      </c>
      <c r="K244" s="2" t="n">
        <f aca="false">VLOOKUP(H244,Lookup!$A$4:$B$6,2,FALSE())</f>
        <v>16</v>
      </c>
    </row>
    <row r="245" customFormat="false" ht="15" hidden="false" customHeight="false" outlineLevel="0" collapsed="false">
      <c r="A245" s="2" t="s">
        <v>354</v>
      </c>
      <c r="B245" s="2" t="s">
        <v>78</v>
      </c>
      <c r="C245" s="3" t="n">
        <v>46278.5522800926</v>
      </c>
      <c r="D245" s="2" t="s">
        <v>46</v>
      </c>
      <c r="E245" s="2" t="n">
        <v>10000</v>
      </c>
      <c r="F245" s="2" t="s">
        <v>18</v>
      </c>
      <c r="G245" s="2"/>
      <c r="H245" s="2" t="str">
        <f aca="false">VLOOKUP(B245,$N$2:$S$41,3,FALSE())</f>
        <v>Model-Z</v>
      </c>
      <c r="I245" s="2" t="str">
        <f aca="false">VLOOKUP(B245,$N$2:$S$41,2,FALSE())</f>
        <v>Екатеринбург, Ленина</v>
      </c>
      <c r="J245" s="2" t="n">
        <f aca="false">IF(F245="success",1,0)</f>
        <v>1</v>
      </c>
      <c r="K245" s="2" t="n">
        <f aca="false">VLOOKUP(H245,Lookup!$A$4:$B$6,2,FALSE())</f>
        <v>16</v>
      </c>
    </row>
    <row r="246" customFormat="false" ht="15" hidden="false" customHeight="false" outlineLevel="0" collapsed="false">
      <c r="A246" s="2" t="s">
        <v>355</v>
      </c>
      <c r="B246" s="2" t="s">
        <v>39</v>
      </c>
      <c r="C246" s="3" t="n">
        <v>46278.5556365741</v>
      </c>
      <c r="D246" s="2" t="s">
        <v>17</v>
      </c>
      <c r="E246" s="2" t="n">
        <v>1000</v>
      </c>
      <c r="F246" s="2" t="s">
        <v>18</v>
      </c>
      <c r="G246" s="2"/>
      <c r="H246" s="2" t="str">
        <f aca="false">VLOOKUP(B246,$N$2:$S$41,3,FALSE())</f>
        <v>Model-Y</v>
      </c>
      <c r="I246" s="2" t="str">
        <f aca="false">VLOOKUP(B246,$N$2:$S$41,2,FALSE())</f>
        <v>Москва, Кутузовский пр-т</v>
      </c>
      <c r="J246" s="2" t="n">
        <f aca="false">IF(F246="success",1,0)</f>
        <v>1</v>
      </c>
      <c r="K246" s="2" t="n">
        <f aca="false">VLOOKUP(H246,Lookup!$A$4:$B$6,2,FALSE())</f>
        <v>14</v>
      </c>
    </row>
    <row r="247" customFormat="false" ht="15" hidden="false" customHeight="false" outlineLevel="0" collapsed="false">
      <c r="A247" s="2" t="s">
        <v>356</v>
      </c>
      <c r="B247" s="2" t="s">
        <v>139</v>
      </c>
      <c r="C247" s="3" t="n">
        <v>46278.6137037037</v>
      </c>
      <c r="D247" s="2" t="s">
        <v>29</v>
      </c>
      <c r="E247" s="2" t="n">
        <v>0</v>
      </c>
      <c r="F247" s="2" t="s">
        <v>18</v>
      </c>
      <c r="G247" s="2"/>
      <c r="H247" s="2" t="str">
        <f aca="false">VLOOKUP(B247,$N$2:$S$41,3,FALSE())</f>
        <v>Model-X</v>
      </c>
      <c r="I247" s="2" t="str">
        <f aca="false">VLOOKUP(B247,$N$2:$S$41,2,FALSE())</f>
        <v>Воронеж, Революции</v>
      </c>
      <c r="J247" s="2" t="n">
        <f aca="false">IF(F247="success",1,0)</f>
        <v>1</v>
      </c>
      <c r="K247" s="2" t="n">
        <f aca="false">VLOOKUP(H247,Lookup!$A$4:$B$6,2,FALSE())</f>
        <v>18</v>
      </c>
    </row>
    <row r="248" customFormat="false" ht="15" hidden="false" customHeight="false" outlineLevel="0" collapsed="false">
      <c r="A248" s="2" t="s">
        <v>357</v>
      </c>
      <c r="B248" s="2" t="s">
        <v>23</v>
      </c>
      <c r="C248" s="3" t="n">
        <v>46278.6242361111</v>
      </c>
      <c r="D248" s="2" t="s">
        <v>29</v>
      </c>
      <c r="E248" s="2" t="n">
        <v>0</v>
      </c>
      <c r="F248" s="2" t="s">
        <v>18</v>
      </c>
      <c r="G248" s="2"/>
      <c r="H248" s="2" t="str">
        <f aca="false">VLOOKUP(B248,$N$2:$S$41,3,FALSE())</f>
        <v>Model-X</v>
      </c>
      <c r="I248" s="2" t="str">
        <f aca="false">VLOOKUP(B248,$N$2:$S$41,2,FALSE())</f>
        <v>Воронеж, Кольцовская</v>
      </c>
      <c r="J248" s="2" t="n">
        <f aca="false">IF(F248="success",1,0)</f>
        <v>1</v>
      </c>
      <c r="K248" s="2" t="n">
        <f aca="false">VLOOKUP(H248,Lookup!$A$4:$B$6,2,FALSE())</f>
        <v>18</v>
      </c>
    </row>
    <row r="249" customFormat="false" ht="15" hidden="false" customHeight="false" outlineLevel="0" collapsed="false">
      <c r="A249" s="2" t="s">
        <v>358</v>
      </c>
      <c r="B249" s="2" t="s">
        <v>85</v>
      </c>
      <c r="C249" s="3" t="n">
        <v>46278.6785069444</v>
      </c>
      <c r="D249" s="2" t="s">
        <v>17</v>
      </c>
      <c r="E249" s="2" t="n">
        <v>1000</v>
      </c>
      <c r="F249" s="2" t="s">
        <v>18</v>
      </c>
      <c r="G249" s="2"/>
      <c r="H249" s="2" t="str">
        <f aca="false">VLOOKUP(B249,$N$2:$S$41,3,FALSE())</f>
        <v>Model-Y</v>
      </c>
      <c r="I249" s="2" t="str">
        <f aca="false">VLOOKUP(B249,$N$2:$S$41,2,FALSE())</f>
        <v>Екатеринбург, 8 Марта</v>
      </c>
      <c r="J249" s="2" t="n">
        <f aca="false">IF(F249="success",1,0)</f>
        <v>1</v>
      </c>
      <c r="K249" s="2" t="n">
        <f aca="false">VLOOKUP(H249,Lookup!$A$4:$B$6,2,FALSE())</f>
        <v>14</v>
      </c>
    </row>
    <row r="250" customFormat="false" ht="15" hidden="false" customHeight="false" outlineLevel="0" collapsed="false">
      <c r="A250" s="2" t="s">
        <v>359</v>
      </c>
      <c r="B250" s="2" t="s">
        <v>50</v>
      </c>
      <c r="C250" s="3" t="n">
        <v>46278.7546643519</v>
      </c>
      <c r="D250" s="2" t="s">
        <v>17</v>
      </c>
      <c r="E250" s="2" t="n">
        <v>1000</v>
      </c>
      <c r="F250" s="2" t="s">
        <v>18</v>
      </c>
      <c r="G250" s="2"/>
      <c r="H250" s="2" t="str">
        <f aca="false">VLOOKUP(B250,$N$2:$S$41,3,FALSE())</f>
        <v>Model-Y</v>
      </c>
      <c r="I250" s="2" t="str">
        <f aca="false">VLOOKUP(B250,$N$2:$S$41,2,FALSE())</f>
        <v>Санкт-Петербург, Московский пр-т</v>
      </c>
      <c r="J250" s="2" t="n">
        <f aca="false">IF(F250="success",1,0)</f>
        <v>1</v>
      </c>
      <c r="K250" s="2" t="n">
        <f aca="false">VLOOKUP(H250,Lookup!$A$4:$B$6,2,FALSE())</f>
        <v>14</v>
      </c>
    </row>
    <row r="251" customFormat="false" ht="15" hidden="false" customHeight="false" outlineLevel="0" collapsed="false">
      <c r="A251" s="2" t="s">
        <v>360</v>
      </c>
      <c r="B251" s="2" t="s">
        <v>93</v>
      </c>
      <c r="C251" s="3" t="n">
        <v>46278.7574189815</v>
      </c>
      <c r="D251" s="2" t="s">
        <v>17</v>
      </c>
      <c r="E251" s="2" t="n">
        <v>10000</v>
      </c>
      <c r="F251" s="2" t="s">
        <v>18</v>
      </c>
      <c r="G251" s="2"/>
      <c r="H251" s="2" t="str">
        <f aca="false">VLOOKUP(B251,$N$2:$S$41,3,FALSE())</f>
        <v>Model-Y</v>
      </c>
      <c r="I251" s="2" t="str">
        <f aca="false">VLOOKUP(B251,$N$2:$S$41,2,FALSE())</f>
        <v>Новосибирск, Ленина</v>
      </c>
      <c r="J251" s="2" t="n">
        <f aca="false">IF(F251="success",1,0)</f>
        <v>1</v>
      </c>
      <c r="K251" s="2" t="n">
        <f aca="false">VLOOKUP(H251,Lookup!$A$4:$B$6,2,FALSE())</f>
        <v>14</v>
      </c>
    </row>
    <row r="252" customFormat="false" ht="15" hidden="false" customHeight="false" outlineLevel="0" collapsed="false">
      <c r="A252" s="2" t="s">
        <v>361</v>
      </c>
      <c r="B252" s="2" t="s">
        <v>16</v>
      </c>
      <c r="C252" s="3" t="n">
        <v>46278.7861111111</v>
      </c>
      <c r="D252" s="2" t="s">
        <v>17</v>
      </c>
      <c r="E252" s="2" t="n">
        <v>1500</v>
      </c>
      <c r="F252" s="2" t="s">
        <v>18</v>
      </c>
      <c r="G252" s="2"/>
      <c r="H252" s="2" t="str">
        <f aca="false">VLOOKUP(B252,$N$2:$S$41,3,FALSE())</f>
        <v>Model-X</v>
      </c>
      <c r="I252" s="2" t="str">
        <f aca="false">VLOOKUP(B252,$N$2:$S$41,2,FALSE())</f>
        <v>Москва, Тверская</v>
      </c>
      <c r="J252" s="2" t="n">
        <f aca="false">IF(F252="success",1,0)</f>
        <v>1</v>
      </c>
      <c r="K252" s="2" t="n">
        <f aca="false">VLOOKUP(H252,Lookup!$A$4:$B$6,2,FALSE())</f>
        <v>18</v>
      </c>
    </row>
    <row r="253" customFormat="false" ht="15" hidden="false" customHeight="false" outlineLevel="0" collapsed="false">
      <c r="A253" s="2" t="s">
        <v>362</v>
      </c>
      <c r="B253" s="2" t="s">
        <v>125</v>
      </c>
      <c r="C253" s="3" t="n">
        <v>46278.7985300926</v>
      </c>
      <c r="D253" s="2" t="s">
        <v>17</v>
      </c>
      <c r="E253" s="2" t="n">
        <v>5000</v>
      </c>
      <c r="F253" s="2" t="s">
        <v>18</v>
      </c>
      <c r="G253" s="2"/>
      <c r="H253" s="2" t="str">
        <f aca="false">VLOOKUP(B253,$N$2:$S$41,3,FALSE())</f>
        <v>Model-X</v>
      </c>
      <c r="I253" s="2" t="str">
        <f aca="false">VLOOKUP(B253,$N$2:$S$41,2,FALSE())</f>
        <v>Ростов-на-Дону, Пушкинская</v>
      </c>
      <c r="J253" s="2" t="n">
        <f aca="false">IF(F253="success",1,0)</f>
        <v>1</v>
      </c>
      <c r="K253" s="2" t="n">
        <f aca="false">VLOOKUP(H253,Lookup!$A$4:$B$6,2,FALSE())</f>
        <v>18</v>
      </c>
    </row>
    <row r="254" customFormat="false" ht="15" hidden="false" customHeight="false" outlineLevel="0" collapsed="false">
      <c r="A254" s="2" t="s">
        <v>363</v>
      </c>
      <c r="B254" s="2" t="s">
        <v>54</v>
      </c>
      <c r="C254" s="3" t="n">
        <v>46278.8537152778</v>
      </c>
      <c r="D254" s="2" t="s">
        <v>29</v>
      </c>
      <c r="E254" s="2" t="n">
        <v>0</v>
      </c>
      <c r="F254" s="2" t="s">
        <v>18</v>
      </c>
      <c r="G254" s="2"/>
      <c r="H254" s="2" t="str">
        <f aca="false">VLOOKUP(B254,$N$2:$S$41,3,FALSE())</f>
        <v>Model-Z</v>
      </c>
      <c r="I254" s="2" t="str">
        <f aca="false">VLOOKUP(B254,$N$2:$S$41,2,FALSE())</f>
        <v>Санкт-Петербург, Лиговский пр-т</v>
      </c>
      <c r="J254" s="2" t="n">
        <f aca="false">IF(F254="success",1,0)</f>
        <v>1</v>
      </c>
      <c r="K254" s="2" t="n">
        <f aca="false">VLOOKUP(H254,Lookup!$A$4:$B$6,2,FALSE())</f>
        <v>16</v>
      </c>
    </row>
    <row r="255" customFormat="false" ht="15" hidden="false" customHeight="false" outlineLevel="0" collapsed="false">
      <c r="A255" s="2" t="s">
        <v>364</v>
      </c>
      <c r="B255" s="2" t="s">
        <v>125</v>
      </c>
      <c r="C255" s="3" t="n">
        <v>46278.8876851852</v>
      </c>
      <c r="D255" s="2" t="s">
        <v>46</v>
      </c>
      <c r="E255" s="2" t="n">
        <v>500</v>
      </c>
      <c r="F255" s="2" t="s">
        <v>100</v>
      </c>
      <c r="G255" s="2"/>
      <c r="H255" s="2" t="str">
        <f aca="false">VLOOKUP(B255,$N$2:$S$41,3,FALSE())</f>
        <v>Model-X</v>
      </c>
      <c r="I255" s="2" t="str">
        <f aca="false">VLOOKUP(B255,$N$2:$S$41,2,FALSE())</f>
        <v>Ростов-на-Дону, Пушкинская</v>
      </c>
      <c r="J255" s="2" t="n">
        <f aca="false">IF(F255="success",1,0)</f>
        <v>0</v>
      </c>
      <c r="K255" s="2" t="n">
        <f aca="false">VLOOKUP(H255,Lookup!$A$4:$B$6,2,FALSE())</f>
        <v>18</v>
      </c>
    </row>
    <row r="256" customFormat="false" ht="15" hidden="false" customHeight="false" outlineLevel="0" collapsed="false">
      <c r="A256" s="2" t="s">
        <v>365</v>
      </c>
      <c r="B256" s="2" t="s">
        <v>78</v>
      </c>
      <c r="C256" s="3" t="n">
        <v>46278.8902199074</v>
      </c>
      <c r="D256" s="2" t="s">
        <v>17</v>
      </c>
      <c r="E256" s="2" t="n">
        <v>2000</v>
      </c>
      <c r="F256" s="2" t="s">
        <v>18</v>
      </c>
      <c r="G256" s="2"/>
      <c r="H256" s="2" t="str">
        <f aca="false">VLOOKUP(B256,$N$2:$S$41,3,FALSE())</f>
        <v>Model-Z</v>
      </c>
      <c r="I256" s="2" t="str">
        <f aca="false">VLOOKUP(B256,$N$2:$S$41,2,FALSE())</f>
        <v>Екатеринбург, Ленина</v>
      </c>
      <c r="J256" s="2" t="n">
        <f aca="false">IF(F256="success",1,0)</f>
        <v>1</v>
      </c>
      <c r="K256" s="2" t="n">
        <f aca="false">VLOOKUP(H256,Lookup!$A$4:$B$6,2,FALSE())</f>
        <v>16</v>
      </c>
    </row>
    <row r="257" customFormat="false" ht="15" hidden="false" customHeight="false" outlineLevel="0" collapsed="false">
      <c r="A257" s="2" t="s">
        <v>366</v>
      </c>
      <c r="B257" s="2" t="s">
        <v>54</v>
      </c>
      <c r="C257" s="3" t="n">
        <v>46278.9270138889</v>
      </c>
      <c r="D257" s="2" t="s">
        <v>17</v>
      </c>
      <c r="E257" s="2" t="n">
        <v>1500</v>
      </c>
      <c r="F257" s="2" t="s">
        <v>18</v>
      </c>
      <c r="G257" s="2"/>
      <c r="H257" s="2" t="str">
        <f aca="false">VLOOKUP(B257,$N$2:$S$41,3,FALSE())</f>
        <v>Model-Z</v>
      </c>
      <c r="I257" s="2" t="str">
        <f aca="false">VLOOKUP(B257,$N$2:$S$41,2,FALSE())</f>
        <v>Санкт-Петербург, Лиговский пр-т</v>
      </c>
      <c r="J257" s="2" t="n">
        <f aca="false">IF(F257="success",1,0)</f>
        <v>1</v>
      </c>
      <c r="K257" s="2" t="n">
        <f aca="false">VLOOKUP(H257,Lookup!$A$4:$B$6,2,FALSE())</f>
        <v>16</v>
      </c>
    </row>
    <row r="258" customFormat="false" ht="15" hidden="false" customHeight="false" outlineLevel="0" collapsed="false">
      <c r="A258" s="2" t="s">
        <v>367</v>
      </c>
      <c r="B258" s="2" t="s">
        <v>81</v>
      </c>
      <c r="C258" s="3" t="n">
        <v>46278.9612847222</v>
      </c>
      <c r="D258" s="2" t="s">
        <v>17</v>
      </c>
      <c r="E258" s="2" t="n">
        <v>10000</v>
      </c>
      <c r="F258" s="2" t="s">
        <v>18</v>
      </c>
      <c r="G258" s="2"/>
      <c r="H258" s="2" t="str">
        <f aca="false">VLOOKUP(B258,$N$2:$S$41,3,FALSE())</f>
        <v>Model-X</v>
      </c>
      <c r="I258" s="2" t="str">
        <f aca="false">VLOOKUP(B258,$N$2:$S$41,2,FALSE())</f>
        <v>Екатеринбург, Малышева</v>
      </c>
      <c r="J258" s="2" t="n">
        <f aca="false">IF(F258="success",1,0)</f>
        <v>1</v>
      </c>
      <c r="K258" s="2" t="n">
        <f aca="false">VLOOKUP(H258,Lookup!$A$4:$B$6,2,FALSE())</f>
        <v>18</v>
      </c>
    </row>
    <row r="259" customFormat="false" ht="15" hidden="false" customHeight="false" outlineLevel="0" collapsed="false">
      <c r="A259" s="2" t="s">
        <v>368</v>
      </c>
      <c r="B259" s="2" t="s">
        <v>35</v>
      </c>
      <c r="C259" s="3" t="n">
        <v>46279.3085763889</v>
      </c>
      <c r="D259" s="2" t="s">
        <v>29</v>
      </c>
      <c r="E259" s="2" t="n">
        <v>0</v>
      </c>
      <c r="F259" s="2" t="s">
        <v>18</v>
      </c>
      <c r="G259" s="2"/>
      <c r="H259" s="2" t="str">
        <f aca="false">VLOOKUP(B259,$N$2:$S$41,3,FALSE())</f>
        <v>Model-X</v>
      </c>
      <c r="I259" s="2" t="str">
        <f aca="false">VLOOKUP(B259,$N$2:$S$41,2,FALSE())</f>
        <v>Москва, Ленинградский пр-т</v>
      </c>
      <c r="J259" s="2" t="n">
        <f aca="false">IF(F259="success",1,0)</f>
        <v>1</v>
      </c>
      <c r="K259" s="2" t="n">
        <f aca="false">VLOOKUP(H259,Lookup!$A$4:$B$6,2,FALSE())</f>
        <v>18</v>
      </c>
    </row>
    <row r="260" customFormat="false" ht="15" hidden="false" customHeight="false" outlineLevel="0" collapsed="false">
      <c r="A260" s="2" t="s">
        <v>369</v>
      </c>
      <c r="B260" s="2" t="s">
        <v>84</v>
      </c>
      <c r="C260" s="3" t="n">
        <v>46279.3416550926</v>
      </c>
      <c r="D260" s="2" t="s">
        <v>17</v>
      </c>
      <c r="E260" s="2" t="n">
        <v>1000</v>
      </c>
      <c r="F260" s="2" t="s">
        <v>18</v>
      </c>
      <c r="G260" s="2"/>
      <c r="H260" s="2" t="str">
        <f aca="false">VLOOKUP(B260,$N$2:$S$41,3,FALSE())</f>
        <v>Model-X</v>
      </c>
      <c r="I260" s="2" t="str">
        <f aca="false">VLOOKUP(B260,$N$2:$S$41,2,FALSE())</f>
        <v>Новосибирск, Красный пр-т</v>
      </c>
      <c r="J260" s="2" t="n">
        <f aca="false">IF(F260="success",1,0)</f>
        <v>1</v>
      </c>
      <c r="K260" s="2" t="n">
        <f aca="false">VLOOKUP(H260,Lookup!$A$4:$B$6,2,FALSE())</f>
        <v>18</v>
      </c>
    </row>
    <row r="261" customFormat="false" ht="15" hidden="false" customHeight="false" outlineLevel="0" collapsed="false">
      <c r="A261" s="2" t="s">
        <v>370</v>
      </c>
      <c r="B261" s="2" t="s">
        <v>125</v>
      </c>
      <c r="C261" s="3" t="n">
        <v>46279.3915740741</v>
      </c>
      <c r="D261" s="2" t="s">
        <v>17</v>
      </c>
      <c r="E261" s="2" t="n">
        <v>5000</v>
      </c>
      <c r="F261" s="2" t="s">
        <v>18</v>
      </c>
      <c r="G261" s="2"/>
      <c r="H261" s="2" t="str">
        <f aca="false">VLOOKUP(B261,$N$2:$S$41,3,FALSE())</f>
        <v>Model-X</v>
      </c>
      <c r="I261" s="2" t="str">
        <f aca="false">VLOOKUP(B261,$N$2:$S$41,2,FALSE())</f>
        <v>Ростов-на-Дону, Пушкинская</v>
      </c>
      <c r="J261" s="2" t="n">
        <f aca="false">IF(F261="success",1,0)</f>
        <v>1</v>
      </c>
      <c r="K261" s="2" t="n">
        <f aca="false">VLOOKUP(H261,Lookup!$A$4:$B$6,2,FALSE())</f>
        <v>18</v>
      </c>
    </row>
    <row r="262" customFormat="false" ht="15" hidden="false" customHeight="false" outlineLevel="0" collapsed="false">
      <c r="A262" s="2" t="s">
        <v>371</v>
      </c>
      <c r="B262" s="2" t="s">
        <v>103</v>
      </c>
      <c r="C262" s="3" t="n">
        <v>46279.4513541667</v>
      </c>
      <c r="D262" s="2" t="s">
        <v>29</v>
      </c>
      <c r="E262" s="2" t="n">
        <v>0</v>
      </c>
      <c r="F262" s="2" t="s">
        <v>18</v>
      </c>
      <c r="G262" s="2"/>
      <c r="H262" s="2" t="str">
        <f aca="false">VLOOKUP(B262,$N$2:$S$41,3,FALSE())</f>
        <v>Model-Y</v>
      </c>
      <c r="I262" s="2" t="str">
        <f aca="false">VLOOKUP(B262,$N$2:$S$41,2,FALSE())</f>
        <v>Нижний Новгород, Большая Покровская</v>
      </c>
      <c r="J262" s="2" t="n">
        <f aca="false">IF(F262="success",1,0)</f>
        <v>1</v>
      </c>
      <c r="K262" s="2" t="n">
        <f aca="false">VLOOKUP(H262,Lookup!$A$4:$B$6,2,FALSE())</f>
        <v>14</v>
      </c>
    </row>
    <row r="263" customFormat="false" ht="15" hidden="false" customHeight="false" outlineLevel="0" collapsed="false">
      <c r="A263" s="2" t="s">
        <v>372</v>
      </c>
      <c r="B263" s="2" t="s">
        <v>85</v>
      </c>
      <c r="C263" s="3" t="n">
        <v>46279.5129861111</v>
      </c>
      <c r="D263" s="2" t="s">
        <v>65</v>
      </c>
      <c r="E263" s="2" t="n">
        <v>15000</v>
      </c>
      <c r="F263" s="2" t="s">
        <v>18</v>
      </c>
      <c r="G263" s="2"/>
      <c r="H263" s="2" t="str">
        <f aca="false">VLOOKUP(B263,$N$2:$S$41,3,FALSE())</f>
        <v>Model-Y</v>
      </c>
      <c r="I263" s="2" t="str">
        <f aca="false">VLOOKUP(B263,$N$2:$S$41,2,FALSE())</f>
        <v>Екатеринбург, 8 Марта</v>
      </c>
      <c r="J263" s="2" t="n">
        <f aca="false">IF(F263="success",1,0)</f>
        <v>1</v>
      </c>
      <c r="K263" s="2" t="n">
        <f aca="false">VLOOKUP(H263,Lookup!$A$4:$B$6,2,FALSE())</f>
        <v>14</v>
      </c>
    </row>
    <row r="264" customFormat="false" ht="15" hidden="false" customHeight="false" outlineLevel="0" collapsed="false">
      <c r="A264" s="2" t="s">
        <v>373</v>
      </c>
      <c r="B264" s="2" t="s">
        <v>34</v>
      </c>
      <c r="C264" s="3" t="n">
        <v>46279.5212152778</v>
      </c>
      <c r="D264" s="2" t="s">
        <v>29</v>
      </c>
      <c r="E264" s="2" t="n">
        <v>0</v>
      </c>
      <c r="F264" s="2" t="s">
        <v>18</v>
      </c>
      <c r="G264" s="2"/>
      <c r="H264" s="2" t="str">
        <f aca="false">VLOOKUP(B264,$N$2:$S$41,3,FALSE())</f>
        <v>Model-X</v>
      </c>
      <c r="I264" s="2" t="str">
        <f aca="false">VLOOKUP(B264,$N$2:$S$41,2,FALSE())</f>
        <v>Москва, Профсоюзная</v>
      </c>
      <c r="J264" s="2" t="n">
        <f aca="false">IF(F264="success",1,0)</f>
        <v>1</v>
      </c>
      <c r="K264" s="2" t="n">
        <f aca="false">VLOOKUP(H264,Lookup!$A$4:$B$6,2,FALSE())</f>
        <v>18</v>
      </c>
    </row>
    <row r="265" customFormat="false" ht="15" hidden="false" customHeight="false" outlineLevel="0" collapsed="false">
      <c r="A265" s="2" t="s">
        <v>374</v>
      </c>
      <c r="B265" s="2" t="s">
        <v>53</v>
      </c>
      <c r="C265" s="3" t="n">
        <v>46279.5255555556</v>
      </c>
      <c r="D265" s="2" t="s">
        <v>17</v>
      </c>
      <c r="E265" s="2" t="n">
        <v>15000</v>
      </c>
      <c r="F265" s="2" t="s">
        <v>18</v>
      </c>
      <c r="G265" s="2"/>
      <c r="H265" s="2" t="str">
        <f aca="false">VLOOKUP(B265,$N$2:$S$41,3,FALSE())</f>
        <v>Model-Z</v>
      </c>
      <c r="I265" s="2" t="str">
        <f aca="false">VLOOKUP(B265,$N$2:$S$41,2,FALSE())</f>
        <v>Ростов-на-Дону, Будённовский</v>
      </c>
      <c r="J265" s="2" t="n">
        <f aca="false">IF(F265="success",1,0)</f>
        <v>1</v>
      </c>
      <c r="K265" s="2" t="n">
        <f aca="false">VLOOKUP(H265,Lookup!$A$4:$B$6,2,FALSE())</f>
        <v>16</v>
      </c>
    </row>
    <row r="266" customFormat="false" ht="15" hidden="false" customHeight="false" outlineLevel="0" collapsed="false">
      <c r="A266" s="2" t="s">
        <v>375</v>
      </c>
      <c r="B266" s="2" t="s">
        <v>106</v>
      </c>
      <c r="C266" s="3" t="n">
        <v>46279.5477893519</v>
      </c>
      <c r="D266" s="2" t="s">
        <v>17</v>
      </c>
      <c r="E266" s="2" t="n">
        <v>500</v>
      </c>
      <c r="F266" s="2" t="s">
        <v>18</v>
      </c>
      <c r="G266" s="2"/>
      <c r="H266" s="2" t="str">
        <f aca="false">VLOOKUP(B266,$N$2:$S$41,3,FALSE())</f>
        <v>Model-Z</v>
      </c>
      <c r="I266" s="2" t="str">
        <f aca="false">VLOOKUP(B266,$N$2:$S$41,2,FALSE())</f>
        <v>Нижний Новгород, Рождественская</v>
      </c>
      <c r="J266" s="2" t="n">
        <f aca="false">IF(F266="success",1,0)</f>
        <v>1</v>
      </c>
      <c r="K266" s="2" t="n">
        <f aca="false">VLOOKUP(H266,Lookup!$A$4:$B$6,2,FALSE())</f>
        <v>16</v>
      </c>
    </row>
    <row r="267" customFormat="false" ht="15" hidden="false" customHeight="false" outlineLevel="0" collapsed="false">
      <c r="A267" s="2" t="s">
        <v>376</v>
      </c>
      <c r="B267" s="2" t="s">
        <v>106</v>
      </c>
      <c r="C267" s="3" t="n">
        <v>46279.6235416667</v>
      </c>
      <c r="D267" s="2" t="s">
        <v>17</v>
      </c>
      <c r="E267" s="2" t="n">
        <v>1000</v>
      </c>
      <c r="F267" s="2" t="s">
        <v>18</v>
      </c>
      <c r="G267" s="2"/>
      <c r="H267" s="2" t="str">
        <f aca="false">VLOOKUP(B267,$N$2:$S$41,3,FALSE())</f>
        <v>Model-Z</v>
      </c>
      <c r="I267" s="2" t="str">
        <f aca="false">VLOOKUP(B267,$N$2:$S$41,2,FALSE())</f>
        <v>Нижний Новгород, Рождественская</v>
      </c>
      <c r="J267" s="2" t="n">
        <f aca="false">IF(F267="success",1,0)</f>
        <v>1</v>
      </c>
      <c r="K267" s="2" t="n">
        <f aca="false">VLOOKUP(H267,Lookup!$A$4:$B$6,2,FALSE())</f>
        <v>16</v>
      </c>
    </row>
    <row r="268" customFormat="false" ht="15" hidden="false" customHeight="false" outlineLevel="0" collapsed="false">
      <c r="A268" s="2" t="s">
        <v>377</v>
      </c>
      <c r="B268" s="2" t="s">
        <v>30</v>
      </c>
      <c r="C268" s="3" t="n">
        <v>46279.6407523148</v>
      </c>
      <c r="D268" s="2" t="s">
        <v>17</v>
      </c>
      <c r="E268" s="2" t="n">
        <v>500</v>
      </c>
      <c r="F268" s="2" t="s">
        <v>18</v>
      </c>
      <c r="G268" s="2"/>
      <c r="H268" s="2" t="str">
        <f aca="false">VLOOKUP(B268,$N$2:$S$41,3,FALSE())</f>
        <v>Model-Z</v>
      </c>
      <c r="I268" s="2" t="str">
        <f aca="false">VLOOKUP(B268,$N$2:$S$41,2,FALSE())</f>
        <v>Москва, Новослободская</v>
      </c>
      <c r="J268" s="2" t="n">
        <f aca="false">IF(F268="success",1,0)</f>
        <v>1</v>
      </c>
      <c r="K268" s="2" t="n">
        <f aca="false">VLOOKUP(H268,Lookup!$A$4:$B$6,2,FALSE())</f>
        <v>16</v>
      </c>
    </row>
    <row r="269" customFormat="false" ht="15" hidden="false" customHeight="false" outlineLevel="0" collapsed="false">
      <c r="A269" s="2" t="s">
        <v>378</v>
      </c>
      <c r="B269" s="2" t="s">
        <v>35</v>
      </c>
      <c r="C269" s="3" t="n">
        <v>46279.6772800926</v>
      </c>
      <c r="D269" s="2" t="s">
        <v>29</v>
      </c>
      <c r="E269" s="2" t="n">
        <v>0</v>
      </c>
      <c r="F269" s="2" t="s">
        <v>18</v>
      </c>
      <c r="G269" s="2"/>
      <c r="H269" s="2" t="str">
        <f aca="false">VLOOKUP(B269,$N$2:$S$41,3,FALSE())</f>
        <v>Model-X</v>
      </c>
      <c r="I269" s="2" t="str">
        <f aca="false">VLOOKUP(B269,$N$2:$S$41,2,FALSE())</f>
        <v>Москва, Ленинградский пр-т</v>
      </c>
      <c r="J269" s="2" t="n">
        <f aca="false">IF(F269="success",1,0)</f>
        <v>1</v>
      </c>
      <c r="K269" s="2" t="n">
        <f aca="false">VLOOKUP(H269,Lookup!$A$4:$B$6,2,FALSE())</f>
        <v>18</v>
      </c>
    </row>
    <row r="270" customFormat="false" ht="15" hidden="false" customHeight="false" outlineLevel="0" collapsed="false">
      <c r="A270" s="2" t="s">
        <v>379</v>
      </c>
      <c r="B270" s="2" t="s">
        <v>97</v>
      </c>
      <c r="C270" s="3" t="n">
        <v>46279.7736111111</v>
      </c>
      <c r="D270" s="2" t="s">
        <v>17</v>
      </c>
      <c r="E270" s="2" t="n">
        <v>2000</v>
      </c>
      <c r="F270" s="2" t="s">
        <v>18</v>
      </c>
      <c r="G270" s="2"/>
      <c r="H270" s="2" t="str">
        <f aca="false">VLOOKUP(B270,$N$2:$S$41,3,FALSE())</f>
        <v>Model-X</v>
      </c>
      <c r="I270" s="2" t="str">
        <f aca="false">VLOOKUP(B270,$N$2:$S$41,2,FALSE())</f>
        <v>Новосибирск, Гоголя</v>
      </c>
      <c r="J270" s="2" t="n">
        <f aca="false">IF(F270="success",1,0)</f>
        <v>1</v>
      </c>
      <c r="K270" s="2" t="n">
        <f aca="false">VLOOKUP(H270,Lookup!$A$4:$B$6,2,FALSE())</f>
        <v>18</v>
      </c>
    </row>
    <row r="271" customFormat="false" ht="15" hidden="false" customHeight="false" outlineLevel="0" collapsed="false">
      <c r="A271" s="2" t="s">
        <v>380</v>
      </c>
      <c r="B271" s="2" t="s">
        <v>62</v>
      </c>
      <c r="C271" s="3" t="n">
        <v>46279.8408796296</v>
      </c>
      <c r="D271" s="2" t="s">
        <v>17</v>
      </c>
      <c r="E271" s="2" t="n">
        <v>500</v>
      </c>
      <c r="F271" s="2" t="s">
        <v>18</v>
      </c>
      <c r="G271" s="2"/>
      <c r="H271" s="2" t="str">
        <f aca="false">VLOOKUP(B271,$N$2:$S$41,3,FALSE())</f>
        <v>Model-X</v>
      </c>
      <c r="I271" s="2" t="str">
        <f aca="false">VLOOKUP(B271,$N$2:$S$41,2,FALSE())</f>
        <v>Казань, Баумана</v>
      </c>
      <c r="J271" s="2" t="n">
        <f aca="false">IF(F271="success",1,0)</f>
        <v>1</v>
      </c>
      <c r="K271" s="2" t="n">
        <f aca="false">VLOOKUP(H271,Lookup!$A$4:$B$6,2,FALSE())</f>
        <v>18</v>
      </c>
    </row>
    <row r="272" customFormat="false" ht="15" hidden="false" customHeight="false" outlineLevel="0" collapsed="false">
      <c r="A272" s="2" t="s">
        <v>381</v>
      </c>
      <c r="B272" s="2" t="s">
        <v>69</v>
      </c>
      <c r="C272" s="3" t="n">
        <v>46279.9250810185</v>
      </c>
      <c r="D272" s="2" t="s">
        <v>29</v>
      </c>
      <c r="E272" s="2" t="n">
        <v>0</v>
      </c>
      <c r="F272" s="2" t="s">
        <v>18</v>
      </c>
      <c r="G272" s="2"/>
      <c r="H272" s="2" t="str">
        <f aca="false">VLOOKUP(B272,$N$2:$S$41,3,FALSE())</f>
        <v>Model-X</v>
      </c>
      <c r="I272" s="2" t="str">
        <f aca="false">VLOOKUP(B272,$N$2:$S$41,2,FALSE())</f>
        <v>Казань, Пушкина</v>
      </c>
      <c r="J272" s="2" t="n">
        <f aca="false">IF(F272="success",1,0)</f>
        <v>1</v>
      </c>
      <c r="K272" s="2" t="n">
        <f aca="false">VLOOKUP(H272,Lookup!$A$4:$B$6,2,FALSE())</f>
        <v>18</v>
      </c>
    </row>
    <row r="273" customFormat="false" ht="15" hidden="false" customHeight="false" outlineLevel="0" collapsed="false">
      <c r="A273" s="2" t="s">
        <v>382</v>
      </c>
      <c r="B273" s="2" t="s">
        <v>35</v>
      </c>
      <c r="C273" s="3" t="n">
        <v>46279.9446180556</v>
      </c>
      <c r="D273" s="2" t="s">
        <v>17</v>
      </c>
      <c r="E273" s="2" t="n">
        <v>1000</v>
      </c>
      <c r="F273" s="2" t="s">
        <v>18</v>
      </c>
      <c r="G273" s="2"/>
      <c r="H273" s="2" t="str">
        <f aca="false">VLOOKUP(B273,$N$2:$S$41,3,FALSE())</f>
        <v>Model-X</v>
      </c>
      <c r="I273" s="2" t="str">
        <f aca="false">VLOOKUP(B273,$N$2:$S$41,2,FALSE())</f>
        <v>Москва, Ленинградский пр-т</v>
      </c>
      <c r="J273" s="2" t="n">
        <f aca="false">IF(F273="success",1,0)</f>
        <v>1</v>
      </c>
      <c r="K273" s="2" t="n">
        <f aca="false">VLOOKUP(H273,Lookup!$A$4:$B$6,2,FALSE())</f>
        <v>18</v>
      </c>
    </row>
    <row r="274" customFormat="false" ht="15" hidden="false" customHeight="false" outlineLevel="0" collapsed="false">
      <c r="A274" s="2" t="s">
        <v>383</v>
      </c>
      <c r="B274" s="2" t="s">
        <v>125</v>
      </c>
      <c r="C274" s="3" t="n">
        <v>46279.9520833333</v>
      </c>
      <c r="D274" s="2" t="s">
        <v>65</v>
      </c>
      <c r="E274" s="2" t="n">
        <v>10000</v>
      </c>
      <c r="F274" s="2" t="s">
        <v>18</v>
      </c>
      <c r="G274" s="2"/>
      <c r="H274" s="2" t="str">
        <f aca="false">VLOOKUP(B274,$N$2:$S$41,3,FALSE())</f>
        <v>Model-X</v>
      </c>
      <c r="I274" s="2" t="str">
        <f aca="false">VLOOKUP(B274,$N$2:$S$41,2,FALSE())</f>
        <v>Ростов-на-Дону, Пушкинская</v>
      </c>
      <c r="J274" s="2" t="n">
        <f aca="false">IF(F274="success",1,0)</f>
        <v>1</v>
      </c>
      <c r="K274" s="2" t="n">
        <f aca="false">VLOOKUP(H274,Lookup!$A$4:$B$6,2,FALSE())</f>
        <v>18</v>
      </c>
    </row>
    <row r="275" customFormat="false" ht="15" hidden="false" customHeight="false" outlineLevel="0" collapsed="false">
      <c r="A275" s="2" t="s">
        <v>384</v>
      </c>
      <c r="B275" s="2" t="s">
        <v>81</v>
      </c>
      <c r="C275" s="3" t="n">
        <v>46280.3032523148</v>
      </c>
      <c r="D275" s="2" t="s">
        <v>17</v>
      </c>
      <c r="E275" s="2" t="n">
        <v>1500</v>
      </c>
      <c r="F275" s="2" t="s">
        <v>76</v>
      </c>
      <c r="G275" s="2" t="s">
        <v>77</v>
      </c>
      <c r="H275" s="2" t="str">
        <f aca="false">VLOOKUP(B275,$N$2:$S$41,3,FALSE())</f>
        <v>Model-X</v>
      </c>
      <c r="I275" s="2" t="str">
        <f aca="false">VLOOKUP(B275,$N$2:$S$41,2,FALSE())</f>
        <v>Екатеринбург, Малышева</v>
      </c>
      <c r="J275" s="2" t="n">
        <f aca="false">IF(F275="success",1,0)</f>
        <v>0</v>
      </c>
      <c r="K275" s="2" t="n">
        <f aca="false">VLOOKUP(H275,Lookup!$A$4:$B$6,2,FALSE())</f>
        <v>18</v>
      </c>
    </row>
    <row r="276" customFormat="false" ht="15" hidden="false" customHeight="false" outlineLevel="0" collapsed="false">
      <c r="A276" s="2" t="s">
        <v>385</v>
      </c>
      <c r="B276" s="2" t="s">
        <v>30</v>
      </c>
      <c r="C276" s="3" t="n">
        <v>46280.3050694445</v>
      </c>
      <c r="D276" s="2" t="s">
        <v>29</v>
      </c>
      <c r="E276" s="2" t="n">
        <v>0</v>
      </c>
      <c r="F276" s="2" t="s">
        <v>18</v>
      </c>
      <c r="G276" s="2"/>
      <c r="H276" s="2" t="str">
        <f aca="false">VLOOKUP(B276,$N$2:$S$41,3,FALSE())</f>
        <v>Model-Z</v>
      </c>
      <c r="I276" s="2" t="str">
        <f aca="false">VLOOKUP(B276,$N$2:$S$41,2,FALSE())</f>
        <v>Москва, Новослободская</v>
      </c>
      <c r="J276" s="2" t="n">
        <f aca="false">IF(F276="success",1,0)</f>
        <v>1</v>
      </c>
      <c r="K276" s="2" t="n">
        <f aca="false">VLOOKUP(H276,Lookup!$A$4:$B$6,2,FALSE())</f>
        <v>16</v>
      </c>
    </row>
    <row r="277" customFormat="false" ht="15" hidden="false" customHeight="false" outlineLevel="0" collapsed="false">
      <c r="A277" s="2" t="s">
        <v>386</v>
      </c>
      <c r="B277" s="2" t="s">
        <v>81</v>
      </c>
      <c r="C277" s="3" t="n">
        <v>46280.3052777778</v>
      </c>
      <c r="D277" s="2" t="s">
        <v>46</v>
      </c>
      <c r="E277" s="2" t="n">
        <v>10000</v>
      </c>
      <c r="F277" s="2" t="s">
        <v>18</v>
      </c>
      <c r="G277" s="2"/>
      <c r="H277" s="2" t="str">
        <f aca="false">VLOOKUP(B277,$N$2:$S$41,3,FALSE())</f>
        <v>Model-X</v>
      </c>
      <c r="I277" s="2" t="str">
        <f aca="false">VLOOKUP(B277,$N$2:$S$41,2,FALSE())</f>
        <v>Екатеринбург, Малышева</v>
      </c>
      <c r="J277" s="2" t="n">
        <f aca="false">IF(F277="success",1,0)</f>
        <v>1</v>
      </c>
      <c r="K277" s="2" t="n">
        <f aca="false">VLOOKUP(H277,Lookup!$A$4:$B$6,2,FALSE())</f>
        <v>18</v>
      </c>
    </row>
    <row r="278" customFormat="false" ht="15" hidden="false" customHeight="false" outlineLevel="0" collapsed="false">
      <c r="A278" s="2" t="s">
        <v>387</v>
      </c>
      <c r="B278" s="2" t="s">
        <v>78</v>
      </c>
      <c r="C278" s="3" t="n">
        <v>46280.3078819444</v>
      </c>
      <c r="D278" s="2" t="s">
        <v>17</v>
      </c>
      <c r="E278" s="2" t="n">
        <v>3000</v>
      </c>
      <c r="F278" s="2" t="s">
        <v>18</v>
      </c>
      <c r="G278" s="2"/>
      <c r="H278" s="2" t="str">
        <f aca="false">VLOOKUP(B278,$N$2:$S$41,3,FALSE())</f>
        <v>Model-Z</v>
      </c>
      <c r="I278" s="2" t="str">
        <f aca="false">VLOOKUP(B278,$N$2:$S$41,2,FALSE())</f>
        <v>Екатеринбург, Ленина</v>
      </c>
      <c r="J278" s="2" t="n">
        <f aca="false">IF(F278="success",1,0)</f>
        <v>1</v>
      </c>
      <c r="K278" s="2" t="n">
        <f aca="false">VLOOKUP(H278,Lookup!$A$4:$B$6,2,FALSE())</f>
        <v>16</v>
      </c>
    </row>
    <row r="279" customFormat="false" ht="15" hidden="false" customHeight="false" outlineLevel="0" collapsed="false">
      <c r="A279" s="2" t="s">
        <v>388</v>
      </c>
      <c r="B279" s="2" t="s">
        <v>114</v>
      </c>
      <c r="C279" s="3" t="n">
        <v>46280.3226388889</v>
      </c>
      <c r="D279" s="2" t="s">
        <v>46</v>
      </c>
      <c r="E279" s="2" t="n">
        <v>1500</v>
      </c>
      <c r="F279" s="2" t="s">
        <v>18</v>
      </c>
      <c r="G279" s="2"/>
      <c r="H279" s="2" t="str">
        <f aca="false">VLOOKUP(B279,$N$2:$S$41,3,FALSE())</f>
        <v>Model-Z</v>
      </c>
      <c r="I279" s="2" t="str">
        <f aca="false">VLOOKUP(B279,$N$2:$S$41,2,FALSE())</f>
        <v>Самара, Куйбышева</v>
      </c>
      <c r="J279" s="2" t="n">
        <f aca="false">IF(F279="success",1,0)</f>
        <v>1</v>
      </c>
      <c r="K279" s="2" t="n">
        <f aca="false">VLOOKUP(H279,Lookup!$A$4:$B$6,2,FALSE())</f>
        <v>16</v>
      </c>
    </row>
    <row r="280" customFormat="false" ht="15" hidden="false" customHeight="false" outlineLevel="0" collapsed="false">
      <c r="A280" s="2" t="s">
        <v>389</v>
      </c>
      <c r="B280" s="2" t="s">
        <v>58</v>
      </c>
      <c r="C280" s="3" t="n">
        <v>46280.349212963</v>
      </c>
      <c r="D280" s="2" t="s">
        <v>46</v>
      </c>
      <c r="E280" s="2" t="n">
        <v>7000</v>
      </c>
      <c r="F280" s="2" t="s">
        <v>18</v>
      </c>
      <c r="G280" s="2"/>
      <c r="H280" s="2" t="str">
        <f aca="false">VLOOKUP(B280,$N$2:$S$41,3,FALSE())</f>
        <v>Model-Y</v>
      </c>
      <c r="I280" s="2" t="str">
        <f aca="false">VLOOKUP(B280,$N$2:$S$41,2,FALSE())</f>
        <v>Краснодар, Красная</v>
      </c>
      <c r="J280" s="2" t="n">
        <f aca="false">IF(F280="success",1,0)</f>
        <v>1</v>
      </c>
      <c r="K280" s="2" t="n">
        <f aca="false">VLOOKUP(H280,Lookup!$A$4:$B$6,2,FALSE())</f>
        <v>14</v>
      </c>
    </row>
    <row r="281" customFormat="false" ht="15" hidden="false" customHeight="false" outlineLevel="0" collapsed="false">
      <c r="A281" s="2" t="s">
        <v>390</v>
      </c>
      <c r="B281" s="2" t="s">
        <v>118</v>
      </c>
      <c r="C281" s="3" t="n">
        <v>46280.3559722222</v>
      </c>
      <c r="D281" s="2" t="s">
        <v>17</v>
      </c>
      <c r="E281" s="2" t="n">
        <v>7000</v>
      </c>
      <c r="F281" s="2" t="s">
        <v>18</v>
      </c>
      <c r="G281" s="2"/>
      <c r="H281" s="2" t="str">
        <f aca="false">VLOOKUP(B281,$N$2:$S$41,3,FALSE())</f>
        <v>Model-X</v>
      </c>
      <c r="I281" s="2" t="str">
        <f aca="false">VLOOKUP(B281,$N$2:$S$41,2,FALSE())</f>
        <v>Самара, Молодогвардейская</v>
      </c>
      <c r="J281" s="2" t="n">
        <f aca="false">IF(F281="success",1,0)</f>
        <v>1</v>
      </c>
      <c r="K281" s="2" t="n">
        <f aca="false">VLOOKUP(H281,Lookup!$A$4:$B$6,2,FALSE())</f>
        <v>18</v>
      </c>
    </row>
    <row r="282" customFormat="false" ht="15" hidden="false" customHeight="false" outlineLevel="0" collapsed="false">
      <c r="A282" s="2" t="s">
        <v>391</v>
      </c>
      <c r="B282" s="2" t="s">
        <v>24</v>
      </c>
      <c r="C282" s="3" t="n">
        <v>46280.3753356482</v>
      </c>
      <c r="D282" s="2" t="s">
        <v>17</v>
      </c>
      <c r="E282" s="2" t="n">
        <v>5000</v>
      </c>
      <c r="F282" s="2" t="s">
        <v>18</v>
      </c>
      <c r="G282" s="2"/>
      <c r="H282" s="2" t="str">
        <f aca="false">VLOOKUP(B282,$N$2:$S$41,3,FALSE())</f>
        <v>Model-Y</v>
      </c>
      <c r="I282" s="2" t="str">
        <f aca="false">VLOOKUP(B282,$N$2:$S$41,2,FALSE())</f>
        <v>Москва, Арбат</v>
      </c>
      <c r="J282" s="2" t="n">
        <f aca="false">IF(F282="success",1,0)</f>
        <v>1</v>
      </c>
      <c r="K282" s="2" t="n">
        <f aca="false">VLOOKUP(H282,Lookup!$A$4:$B$6,2,FALSE())</f>
        <v>14</v>
      </c>
    </row>
    <row r="283" customFormat="false" ht="15" hidden="false" customHeight="false" outlineLevel="0" collapsed="false">
      <c r="A283" s="2" t="s">
        <v>392</v>
      </c>
      <c r="B283" s="2" t="s">
        <v>84</v>
      </c>
      <c r="C283" s="3" t="n">
        <v>46280.3786689815</v>
      </c>
      <c r="D283" s="2" t="s">
        <v>17</v>
      </c>
      <c r="E283" s="2" t="n">
        <v>1500</v>
      </c>
      <c r="F283" s="2" t="s">
        <v>18</v>
      </c>
      <c r="G283" s="2"/>
      <c r="H283" s="2" t="str">
        <f aca="false">VLOOKUP(B283,$N$2:$S$41,3,FALSE())</f>
        <v>Model-X</v>
      </c>
      <c r="I283" s="2" t="str">
        <f aca="false">VLOOKUP(B283,$N$2:$S$41,2,FALSE())</f>
        <v>Новосибирск, Красный пр-т</v>
      </c>
      <c r="J283" s="2" t="n">
        <f aca="false">IF(F283="success",1,0)</f>
        <v>1</v>
      </c>
      <c r="K283" s="2" t="n">
        <f aca="false">VLOOKUP(H283,Lookup!$A$4:$B$6,2,FALSE())</f>
        <v>18</v>
      </c>
    </row>
    <row r="284" customFormat="false" ht="15" hidden="false" customHeight="false" outlineLevel="0" collapsed="false">
      <c r="A284" s="2" t="s">
        <v>393</v>
      </c>
      <c r="B284" s="2" t="s">
        <v>50</v>
      </c>
      <c r="C284" s="3" t="n">
        <v>46280.4222453704</v>
      </c>
      <c r="D284" s="2" t="s">
        <v>17</v>
      </c>
      <c r="E284" s="2" t="n">
        <v>15000</v>
      </c>
      <c r="F284" s="2" t="s">
        <v>18</v>
      </c>
      <c r="G284" s="2"/>
      <c r="H284" s="2" t="str">
        <f aca="false">VLOOKUP(B284,$N$2:$S$41,3,FALSE())</f>
        <v>Model-Y</v>
      </c>
      <c r="I284" s="2" t="str">
        <f aca="false">VLOOKUP(B284,$N$2:$S$41,2,FALSE())</f>
        <v>Санкт-Петербург, Московский пр-т</v>
      </c>
      <c r="J284" s="2" t="n">
        <f aca="false">IF(F284="success",1,0)</f>
        <v>1</v>
      </c>
      <c r="K284" s="2" t="n">
        <f aca="false">VLOOKUP(H284,Lookup!$A$4:$B$6,2,FALSE())</f>
        <v>14</v>
      </c>
    </row>
    <row r="285" customFormat="false" ht="15" hidden="false" customHeight="false" outlineLevel="0" collapsed="false">
      <c r="A285" s="2" t="s">
        <v>394</v>
      </c>
      <c r="B285" s="2" t="s">
        <v>62</v>
      </c>
      <c r="C285" s="3" t="n">
        <v>46280.4394560185</v>
      </c>
      <c r="D285" s="2" t="s">
        <v>17</v>
      </c>
      <c r="E285" s="2" t="n">
        <v>1000</v>
      </c>
      <c r="F285" s="2" t="s">
        <v>18</v>
      </c>
      <c r="G285" s="2"/>
      <c r="H285" s="2" t="str">
        <f aca="false">VLOOKUP(B285,$N$2:$S$41,3,FALSE())</f>
        <v>Model-X</v>
      </c>
      <c r="I285" s="2" t="str">
        <f aca="false">VLOOKUP(B285,$N$2:$S$41,2,FALSE())</f>
        <v>Казань, Баумана</v>
      </c>
      <c r="J285" s="2" t="n">
        <f aca="false">IF(F285="success",1,0)</f>
        <v>1</v>
      </c>
      <c r="K285" s="2" t="n">
        <f aca="false">VLOOKUP(H285,Lookup!$A$4:$B$6,2,FALSE())</f>
        <v>18</v>
      </c>
    </row>
    <row r="286" customFormat="false" ht="15" hidden="false" customHeight="false" outlineLevel="0" collapsed="false">
      <c r="A286" s="2" t="s">
        <v>395</v>
      </c>
      <c r="B286" s="2" t="s">
        <v>53</v>
      </c>
      <c r="C286" s="3" t="n">
        <v>46280.4762731482</v>
      </c>
      <c r="D286" s="2" t="s">
        <v>17</v>
      </c>
      <c r="E286" s="2" t="n">
        <v>15000</v>
      </c>
      <c r="F286" s="2" t="s">
        <v>18</v>
      </c>
      <c r="G286" s="2"/>
      <c r="H286" s="2" t="str">
        <f aca="false">VLOOKUP(B286,$N$2:$S$41,3,FALSE())</f>
        <v>Model-Z</v>
      </c>
      <c r="I286" s="2" t="str">
        <f aca="false">VLOOKUP(B286,$N$2:$S$41,2,FALSE())</f>
        <v>Ростов-на-Дону, Будённовский</v>
      </c>
      <c r="J286" s="2" t="n">
        <f aca="false">IF(F286="success",1,0)</f>
        <v>1</v>
      </c>
      <c r="K286" s="2" t="n">
        <f aca="false">VLOOKUP(H286,Lookup!$A$4:$B$6,2,FALSE())</f>
        <v>16</v>
      </c>
    </row>
    <row r="287" customFormat="false" ht="15" hidden="false" customHeight="false" outlineLevel="0" collapsed="false">
      <c r="A287" s="2" t="s">
        <v>396</v>
      </c>
      <c r="B287" s="2" t="s">
        <v>42</v>
      </c>
      <c r="C287" s="3" t="n">
        <v>46280.48375</v>
      </c>
      <c r="D287" s="2" t="s">
        <v>29</v>
      </c>
      <c r="E287" s="2" t="n">
        <v>0</v>
      </c>
      <c r="F287" s="2" t="s">
        <v>18</v>
      </c>
      <c r="G287" s="2"/>
      <c r="H287" s="2" t="str">
        <f aca="false">VLOOKUP(B287,$N$2:$S$41,3,FALSE())</f>
        <v>Model-X</v>
      </c>
      <c r="I287" s="2" t="str">
        <f aca="false">VLOOKUP(B287,$N$2:$S$41,2,FALSE())</f>
        <v>Краснодар, Гимназическая</v>
      </c>
      <c r="J287" s="2" t="n">
        <f aca="false">IF(F287="success",1,0)</f>
        <v>1</v>
      </c>
      <c r="K287" s="2" t="n">
        <f aca="false">VLOOKUP(H287,Lookup!$A$4:$B$6,2,FALSE())</f>
        <v>18</v>
      </c>
    </row>
    <row r="288" customFormat="false" ht="15" hidden="false" customHeight="false" outlineLevel="0" collapsed="false">
      <c r="A288" s="2" t="s">
        <v>397</v>
      </c>
      <c r="B288" s="2" t="s">
        <v>39</v>
      </c>
      <c r="C288" s="3" t="n">
        <v>46280.4867476852</v>
      </c>
      <c r="D288" s="2" t="s">
        <v>17</v>
      </c>
      <c r="E288" s="2" t="n">
        <v>10000</v>
      </c>
      <c r="F288" s="2" t="s">
        <v>18</v>
      </c>
      <c r="G288" s="2"/>
      <c r="H288" s="2" t="str">
        <f aca="false">VLOOKUP(B288,$N$2:$S$41,3,FALSE())</f>
        <v>Model-Y</v>
      </c>
      <c r="I288" s="2" t="str">
        <f aca="false">VLOOKUP(B288,$N$2:$S$41,2,FALSE())</f>
        <v>Москва, Кутузовский пр-т</v>
      </c>
      <c r="J288" s="2" t="n">
        <f aca="false">IF(F288="success",1,0)</f>
        <v>1</v>
      </c>
      <c r="K288" s="2" t="n">
        <f aca="false">VLOOKUP(H288,Lookup!$A$4:$B$6,2,FALSE())</f>
        <v>14</v>
      </c>
    </row>
    <row r="289" customFormat="false" ht="15" hidden="false" customHeight="false" outlineLevel="0" collapsed="false">
      <c r="A289" s="2" t="s">
        <v>398</v>
      </c>
      <c r="B289" s="2" t="s">
        <v>58</v>
      </c>
      <c r="C289" s="3" t="n">
        <v>46280.4900578704</v>
      </c>
      <c r="D289" s="2" t="s">
        <v>17</v>
      </c>
      <c r="E289" s="2" t="n">
        <v>500</v>
      </c>
      <c r="F289" s="2" t="s">
        <v>100</v>
      </c>
      <c r="G289" s="2"/>
      <c r="H289" s="2" t="str">
        <f aca="false">VLOOKUP(B289,$N$2:$S$41,3,FALSE())</f>
        <v>Model-Y</v>
      </c>
      <c r="I289" s="2" t="str">
        <f aca="false">VLOOKUP(B289,$N$2:$S$41,2,FALSE())</f>
        <v>Краснодар, Красная</v>
      </c>
      <c r="J289" s="2" t="n">
        <f aca="false">IF(F289="success",1,0)</f>
        <v>0</v>
      </c>
      <c r="K289" s="2" t="n">
        <f aca="false">VLOOKUP(H289,Lookup!$A$4:$B$6,2,FALSE())</f>
        <v>14</v>
      </c>
    </row>
    <row r="290" customFormat="false" ht="15" hidden="false" customHeight="false" outlineLevel="0" collapsed="false">
      <c r="A290" s="2" t="s">
        <v>399</v>
      </c>
      <c r="B290" s="2" t="s">
        <v>39</v>
      </c>
      <c r="C290" s="3" t="n">
        <v>46280.5131944444</v>
      </c>
      <c r="D290" s="2" t="s">
        <v>29</v>
      </c>
      <c r="E290" s="2" t="n">
        <v>0</v>
      </c>
      <c r="F290" s="2" t="s">
        <v>18</v>
      </c>
      <c r="G290" s="2"/>
      <c r="H290" s="2" t="str">
        <f aca="false">VLOOKUP(B290,$N$2:$S$41,3,FALSE())</f>
        <v>Model-Y</v>
      </c>
      <c r="I290" s="2" t="str">
        <f aca="false">VLOOKUP(B290,$N$2:$S$41,2,FALSE())</f>
        <v>Москва, Кутузовский пр-т</v>
      </c>
      <c r="J290" s="2" t="n">
        <f aca="false">IF(F290="success",1,0)</f>
        <v>1</v>
      </c>
      <c r="K290" s="2" t="n">
        <f aca="false">VLOOKUP(H290,Lookup!$A$4:$B$6,2,FALSE())</f>
        <v>14</v>
      </c>
    </row>
    <row r="291" customFormat="false" ht="15" hidden="false" customHeight="false" outlineLevel="0" collapsed="false">
      <c r="A291" s="2" t="s">
        <v>400</v>
      </c>
      <c r="B291" s="2" t="s">
        <v>69</v>
      </c>
      <c r="C291" s="3" t="n">
        <v>46280.5317708333</v>
      </c>
      <c r="D291" s="2" t="s">
        <v>29</v>
      </c>
      <c r="E291" s="2" t="n">
        <v>0</v>
      </c>
      <c r="F291" s="2" t="s">
        <v>18</v>
      </c>
      <c r="G291" s="2"/>
      <c r="H291" s="2" t="str">
        <f aca="false">VLOOKUP(B291,$N$2:$S$41,3,FALSE())</f>
        <v>Model-X</v>
      </c>
      <c r="I291" s="2" t="str">
        <f aca="false">VLOOKUP(B291,$N$2:$S$41,2,FALSE())</f>
        <v>Казань, Пушкина</v>
      </c>
      <c r="J291" s="2" t="n">
        <f aca="false">IF(F291="success",1,0)</f>
        <v>1</v>
      </c>
      <c r="K291" s="2" t="n">
        <f aca="false">VLOOKUP(H291,Lookup!$A$4:$B$6,2,FALSE())</f>
        <v>18</v>
      </c>
    </row>
    <row r="292" customFormat="false" ht="15" hidden="false" customHeight="false" outlineLevel="0" collapsed="false">
      <c r="A292" s="2" t="s">
        <v>401</v>
      </c>
      <c r="B292" s="2" t="s">
        <v>16</v>
      </c>
      <c r="C292" s="3" t="n">
        <v>46280.5481828704</v>
      </c>
      <c r="D292" s="2" t="s">
        <v>29</v>
      </c>
      <c r="E292" s="2" t="n">
        <v>0</v>
      </c>
      <c r="F292" s="2" t="s">
        <v>18</v>
      </c>
      <c r="G292" s="2"/>
      <c r="H292" s="2" t="str">
        <f aca="false">VLOOKUP(B292,$N$2:$S$41,3,FALSE())</f>
        <v>Model-X</v>
      </c>
      <c r="I292" s="2" t="str">
        <f aca="false">VLOOKUP(B292,$N$2:$S$41,2,FALSE())</f>
        <v>Москва, Тверская</v>
      </c>
      <c r="J292" s="2" t="n">
        <f aca="false">IF(F292="success",1,0)</f>
        <v>1</v>
      </c>
      <c r="K292" s="2" t="n">
        <f aca="false">VLOOKUP(H292,Lookup!$A$4:$B$6,2,FALSE())</f>
        <v>18</v>
      </c>
    </row>
    <row r="293" customFormat="false" ht="15" hidden="false" customHeight="false" outlineLevel="0" collapsed="false">
      <c r="A293" s="2" t="s">
        <v>402</v>
      </c>
      <c r="B293" s="2" t="s">
        <v>130</v>
      </c>
      <c r="C293" s="3" t="n">
        <v>46280.5559259259</v>
      </c>
      <c r="D293" s="2" t="s">
        <v>17</v>
      </c>
      <c r="E293" s="2" t="n">
        <v>1500</v>
      </c>
      <c r="F293" s="2" t="s">
        <v>100</v>
      </c>
      <c r="G293" s="2"/>
      <c r="H293" s="2" t="str">
        <f aca="false">VLOOKUP(B293,$N$2:$S$41,3,FALSE())</f>
        <v>Model-Z</v>
      </c>
      <c r="I293" s="2" t="str">
        <f aca="false">VLOOKUP(B293,$N$2:$S$41,2,FALSE())</f>
        <v>Краснодар, Северная</v>
      </c>
      <c r="J293" s="2" t="n">
        <f aca="false">IF(F293="success",1,0)</f>
        <v>0</v>
      </c>
      <c r="K293" s="2" t="n">
        <f aca="false">VLOOKUP(H293,Lookup!$A$4:$B$6,2,FALSE())</f>
        <v>16</v>
      </c>
    </row>
    <row r="294" customFormat="false" ht="15" hidden="false" customHeight="false" outlineLevel="0" collapsed="false">
      <c r="A294" s="2" t="s">
        <v>403</v>
      </c>
      <c r="B294" s="2" t="s">
        <v>30</v>
      </c>
      <c r="C294" s="3" t="n">
        <v>46280.5602083333</v>
      </c>
      <c r="D294" s="2" t="s">
        <v>17</v>
      </c>
      <c r="E294" s="2" t="n">
        <v>10000</v>
      </c>
      <c r="F294" s="2" t="s">
        <v>18</v>
      </c>
      <c r="G294" s="2"/>
      <c r="H294" s="2" t="str">
        <f aca="false">VLOOKUP(B294,$N$2:$S$41,3,FALSE())</f>
        <v>Model-Z</v>
      </c>
      <c r="I294" s="2" t="str">
        <f aca="false">VLOOKUP(B294,$N$2:$S$41,2,FALSE())</f>
        <v>Москва, Новослободская</v>
      </c>
      <c r="J294" s="2" t="n">
        <f aca="false">IF(F294="success",1,0)</f>
        <v>1</v>
      </c>
      <c r="K294" s="2" t="n">
        <f aca="false">VLOOKUP(H294,Lookup!$A$4:$B$6,2,FALSE())</f>
        <v>16</v>
      </c>
    </row>
    <row r="295" customFormat="false" ht="15" hidden="false" customHeight="false" outlineLevel="0" collapsed="false">
      <c r="A295" s="2" t="s">
        <v>404</v>
      </c>
      <c r="B295" s="2" t="s">
        <v>39</v>
      </c>
      <c r="C295" s="3" t="n">
        <v>46280.5970138889</v>
      </c>
      <c r="D295" s="2" t="s">
        <v>17</v>
      </c>
      <c r="E295" s="2" t="n">
        <v>15000</v>
      </c>
      <c r="F295" s="2" t="s">
        <v>18</v>
      </c>
      <c r="G295" s="2"/>
      <c r="H295" s="2" t="str">
        <f aca="false">VLOOKUP(B295,$N$2:$S$41,3,FALSE())</f>
        <v>Model-Y</v>
      </c>
      <c r="I295" s="2" t="str">
        <f aca="false">VLOOKUP(B295,$N$2:$S$41,2,FALSE())</f>
        <v>Москва, Кутузовский пр-т</v>
      </c>
      <c r="J295" s="2" t="n">
        <f aca="false">IF(F295="success",1,0)</f>
        <v>1</v>
      </c>
      <c r="K295" s="2" t="n">
        <f aca="false">VLOOKUP(H295,Lookup!$A$4:$B$6,2,FALSE())</f>
        <v>14</v>
      </c>
    </row>
    <row r="296" customFormat="false" ht="15" hidden="false" customHeight="false" outlineLevel="0" collapsed="false">
      <c r="A296" s="2" t="s">
        <v>405</v>
      </c>
      <c r="B296" s="2" t="s">
        <v>84</v>
      </c>
      <c r="C296" s="3" t="n">
        <v>46280.6089467593</v>
      </c>
      <c r="D296" s="2" t="s">
        <v>17</v>
      </c>
      <c r="E296" s="2" t="n">
        <v>10000</v>
      </c>
      <c r="F296" s="2" t="s">
        <v>18</v>
      </c>
      <c r="G296" s="2"/>
      <c r="H296" s="2" t="str">
        <f aca="false">VLOOKUP(B296,$N$2:$S$41,3,FALSE())</f>
        <v>Model-X</v>
      </c>
      <c r="I296" s="2" t="str">
        <f aca="false">VLOOKUP(B296,$N$2:$S$41,2,FALSE())</f>
        <v>Новосибирск, Красный пр-т</v>
      </c>
      <c r="J296" s="2" t="n">
        <f aca="false">IF(F296="success",1,0)</f>
        <v>1</v>
      </c>
      <c r="K296" s="2" t="n">
        <f aca="false">VLOOKUP(H296,Lookup!$A$4:$B$6,2,FALSE())</f>
        <v>18</v>
      </c>
    </row>
    <row r="297" customFormat="false" ht="15" hidden="false" customHeight="false" outlineLevel="0" collapsed="false">
      <c r="A297" s="2" t="s">
        <v>406</v>
      </c>
      <c r="B297" s="2" t="s">
        <v>16</v>
      </c>
      <c r="C297" s="3" t="n">
        <v>46280.6222222222</v>
      </c>
      <c r="D297" s="2" t="s">
        <v>46</v>
      </c>
      <c r="E297" s="2" t="n">
        <v>10000</v>
      </c>
      <c r="F297" s="2" t="s">
        <v>18</v>
      </c>
      <c r="G297" s="2"/>
      <c r="H297" s="2" t="str">
        <f aca="false">VLOOKUP(B297,$N$2:$S$41,3,FALSE())</f>
        <v>Model-X</v>
      </c>
      <c r="I297" s="2" t="str">
        <f aca="false">VLOOKUP(B297,$N$2:$S$41,2,FALSE())</f>
        <v>Москва, Тверская</v>
      </c>
      <c r="J297" s="2" t="n">
        <f aca="false">IF(F297="success",1,0)</f>
        <v>1</v>
      </c>
      <c r="K297" s="2" t="n">
        <f aca="false">VLOOKUP(H297,Lookup!$A$4:$B$6,2,FALSE())</f>
        <v>18</v>
      </c>
    </row>
    <row r="298" customFormat="false" ht="15" hidden="false" customHeight="false" outlineLevel="0" collapsed="false">
      <c r="A298" s="2" t="s">
        <v>407</v>
      </c>
      <c r="B298" s="2" t="s">
        <v>72</v>
      </c>
      <c r="C298" s="3" t="n">
        <v>46280.6444097222</v>
      </c>
      <c r="D298" s="2" t="s">
        <v>17</v>
      </c>
      <c r="E298" s="2" t="n">
        <v>2000</v>
      </c>
      <c r="F298" s="2" t="s">
        <v>18</v>
      </c>
      <c r="G298" s="2"/>
      <c r="H298" s="2" t="str">
        <f aca="false">VLOOKUP(B298,$N$2:$S$41,3,FALSE())</f>
        <v>Model-Y</v>
      </c>
      <c r="I298" s="2" t="str">
        <f aca="false">VLOOKUP(B298,$N$2:$S$41,2,FALSE())</f>
        <v>Ростов-на-Дону, Садовая</v>
      </c>
      <c r="J298" s="2" t="n">
        <f aca="false">IF(F298="success",1,0)</f>
        <v>1</v>
      </c>
      <c r="K298" s="2" t="n">
        <f aca="false">VLOOKUP(H298,Lookup!$A$4:$B$6,2,FALSE())</f>
        <v>14</v>
      </c>
    </row>
    <row r="299" customFormat="false" ht="15" hidden="false" customHeight="false" outlineLevel="0" collapsed="false">
      <c r="A299" s="2" t="s">
        <v>408</v>
      </c>
      <c r="B299" s="2" t="s">
        <v>97</v>
      </c>
      <c r="C299" s="3" t="n">
        <v>46280.6628703704</v>
      </c>
      <c r="D299" s="2" t="s">
        <v>17</v>
      </c>
      <c r="E299" s="2" t="n">
        <v>1000</v>
      </c>
      <c r="F299" s="2" t="s">
        <v>18</v>
      </c>
      <c r="G299" s="2"/>
      <c r="H299" s="2" t="str">
        <f aca="false">VLOOKUP(B299,$N$2:$S$41,3,FALSE())</f>
        <v>Model-X</v>
      </c>
      <c r="I299" s="2" t="str">
        <f aca="false">VLOOKUP(B299,$N$2:$S$41,2,FALSE())</f>
        <v>Новосибирск, Гоголя</v>
      </c>
      <c r="J299" s="2" t="n">
        <f aca="false">IF(F299="success",1,0)</f>
        <v>1</v>
      </c>
      <c r="K299" s="2" t="n">
        <f aca="false">VLOOKUP(H299,Lookup!$A$4:$B$6,2,FALSE())</f>
        <v>18</v>
      </c>
    </row>
    <row r="300" customFormat="false" ht="15" hidden="false" customHeight="false" outlineLevel="0" collapsed="false">
      <c r="A300" s="2" t="s">
        <v>409</v>
      </c>
      <c r="B300" s="2" t="s">
        <v>42</v>
      </c>
      <c r="C300" s="3" t="n">
        <v>46280.7</v>
      </c>
      <c r="D300" s="2" t="s">
        <v>17</v>
      </c>
      <c r="E300" s="2" t="n">
        <v>10000</v>
      </c>
      <c r="F300" s="2" t="s">
        <v>18</v>
      </c>
      <c r="G300" s="2"/>
      <c r="H300" s="2" t="str">
        <f aca="false">VLOOKUP(B300,$N$2:$S$41,3,FALSE())</f>
        <v>Model-X</v>
      </c>
      <c r="I300" s="2" t="str">
        <f aca="false">VLOOKUP(B300,$N$2:$S$41,2,FALSE())</f>
        <v>Краснодар, Гимназическая</v>
      </c>
      <c r="J300" s="2" t="n">
        <f aca="false">IF(F300="success",1,0)</f>
        <v>1</v>
      </c>
      <c r="K300" s="2" t="n">
        <f aca="false">VLOOKUP(H300,Lookup!$A$4:$B$6,2,FALSE())</f>
        <v>18</v>
      </c>
    </row>
    <row r="301" customFormat="false" ht="15" hidden="false" customHeight="false" outlineLevel="0" collapsed="false">
      <c r="A301" s="2" t="s">
        <v>410</v>
      </c>
      <c r="B301" s="2" t="s">
        <v>53</v>
      </c>
      <c r="C301" s="3" t="n">
        <v>46280.7244907407</v>
      </c>
      <c r="D301" s="2" t="s">
        <v>29</v>
      </c>
      <c r="E301" s="2" t="n">
        <v>0</v>
      </c>
      <c r="F301" s="2" t="s">
        <v>18</v>
      </c>
      <c r="G301" s="2"/>
      <c r="H301" s="2" t="str">
        <f aca="false">VLOOKUP(B301,$N$2:$S$41,3,FALSE())</f>
        <v>Model-Z</v>
      </c>
      <c r="I301" s="2" t="str">
        <f aca="false">VLOOKUP(B301,$N$2:$S$41,2,FALSE())</f>
        <v>Ростов-на-Дону, Будённовский</v>
      </c>
      <c r="J301" s="2" t="n">
        <f aca="false">IF(F301="success",1,0)</f>
        <v>1</v>
      </c>
      <c r="K301" s="2" t="n">
        <f aca="false">VLOOKUP(H301,Lookup!$A$4:$B$6,2,FALSE())</f>
        <v>16</v>
      </c>
    </row>
    <row r="302" customFormat="false" ht="15" hidden="false" customHeight="false" outlineLevel="0" collapsed="false">
      <c r="A302" s="2" t="s">
        <v>411</v>
      </c>
      <c r="B302" s="2" t="s">
        <v>125</v>
      </c>
      <c r="C302" s="3" t="n">
        <v>46280.7276273148</v>
      </c>
      <c r="D302" s="2" t="s">
        <v>17</v>
      </c>
      <c r="E302" s="2" t="n">
        <v>1000</v>
      </c>
      <c r="F302" s="2" t="s">
        <v>18</v>
      </c>
      <c r="G302" s="2"/>
      <c r="H302" s="2" t="str">
        <f aca="false">VLOOKUP(B302,$N$2:$S$41,3,FALSE())</f>
        <v>Model-X</v>
      </c>
      <c r="I302" s="2" t="str">
        <f aca="false">VLOOKUP(B302,$N$2:$S$41,2,FALSE())</f>
        <v>Ростов-на-Дону, Пушкинская</v>
      </c>
      <c r="J302" s="2" t="n">
        <f aca="false">IF(F302="success",1,0)</f>
        <v>1</v>
      </c>
      <c r="K302" s="2" t="n">
        <f aca="false">VLOOKUP(H302,Lookup!$A$4:$B$6,2,FALSE())</f>
        <v>18</v>
      </c>
    </row>
    <row r="303" customFormat="false" ht="15" hidden="false" customHeight="false" outlineLevel="0" collapsed="false">
      <c r="A303" s="2" t="s">
        <v>412</v>
      </c>
      <c r="B303" s="2" t="s">
        <v>38</v>
      </c>
      <c r="C303" s="3" t="n">
        <v>46280.7608333333</v>
      </c>
      <c r="D303" s="2" t="s">
        <v>17</v>
      </c>
      <c r="E303" s="2" t="n">
        <v>10000</v>
      </c>
      <c r="F303" s="2" t="s">
        <v>18</v>
      </c>
      <c r="G303" s="2"/>
      <c r="H303" s="2" t="str">
        <f aca="false">VLOOKUP(B303,$N$2:$S$41,3,FALSE())</f>
        <v>Model-Z</v>
      </c>
      <c r="I303" s="2" t="str">
        <f aca="false">VLOOKUP(B303,$N$2:$S$41,2,FALSE())</f>
        <v>Казань, Кремлёвская</v>
      </c>
      <c r="J303" s="2" t="n">
        <f aca="false">IF(F303="success",1,0)</f>
        <v>1</v>
      </c>
      <c r="K303" s="2" t="n">
        <f aca="false">VLOOKUP(H303,Lookup!$A$4:$B$6,2,FALSE())</f>
        <v>16</v>
      </c>
    </row>
    <row r="304" customFormat="false" ht="15" hidden="false" customHeight="false" outlineLevel="0" collapsed="false">
      <c r="A304" s="2" t="s">
        <v>413</v>
      </c>
      <c r="B304" s="2" t="s">
        <v>30</v>
      </c>
      <c r="C304" s="3" t="n">
        <v>46280.8475115741</v>
      </c>
      <c r="D304" s="2" t="s">
        <v>17</v>
      </c>
      <c r="E304" s="2" t="n">
        <v>15000</v>
      </c>
      <c r="F304" s="2" t="s">
        <v>18</v>
      </c>
      <c r="G304" s="2"/>
      <c r="H304" s="2" t="str">
        <f aca="false">VLOOKUP(B304,$N$2:$S$41,3,FALSE())</f>
        <v>Model-Z</v>
      </c>
      <c r="I304" s="2" t="str">
        <f aca="false">VLOOKUP(B304,$N$2:$S$41,2,FALSE())</f>
        <v>Москва, Новослободская</v>
      </c>
      <c r="J304" s="2" t="n">
        <f aca="false">IF(F304="success",1,0)</f>
        <v>1</v>
      </c>
      <c r="K304" s="2" t="n">
        <f aca="false">VLOOKUP(H304,Lookup!$A$4:$B$6,2,FALSE())</f>
        <v>16</v>
      </c>
    </row>
    <row r="305" customFormat="false" ht="15" hidden="false" customHeight="false" outlineLevel="0" collapsed="false">
      <c r="A305" s="2" t="s">
        <v>414</v>
      </c>
      <c r="B305" s="2" t="s">
        <v>97</v>
      </c>
      <c r="C305" s="3" t="n">
        <v>46280.9005439815</v>
      </c>
      <c r="D305" s="2" t="s">
        <v>46</v>
      </c>
      <c r="E305" s="2" t="n">
        <v>5000</v>
      </c>
      <c r="F305" s="2" t="s">
        <v>18</v>
      </c>
      <c r="G305" s="2"/>
      <c r="H305" s="2" t="str">
        <f aca="false">VLOOKUP(B305,$N$2:$S$41,3,FALSE())</f>
        <v>Model-X</v>
      </c>
      <c r="I305" s="2" t="str">
        <f aca="false">VLOOKUP(B305,$N$2:$S$41,2,FALSE())</f>
        <v>Новосибирск, Гоголя</v>
      </c>
      <c r="J305" s="2" t="n">
        <f aca="false">IF(F305="success",1,0)</f>
        <v>1</v>
      </c>
      <c r="K305" s="2" t="n">
        <f aca="false">VLOOKUP(H305,Lookup!$A$4:$B$6,2,FALSE())</f>
        <v>18</v>
      </c>
    </row>
    <row r="306" customFormat="false" ht="15" hidden="false" customHeight="false" outlineLevel="0" collapsed="false">
      <c r="A306" s="2" t="s">
        <v>415</v>
      </c>
      <c r="B306" s="2" t="s">
        <v>47</v>
      </c>
      <c r="C306" s="3" t="n">
        <v>46280.902962963</v>
      </c>
      <c r="D306" s="2" t="s">
        <v>17</v>
      </c>
      <c r="E306" s="2" t="n">
        <v>15000</v>
      </c>
      <c r="F306" s="2" t="s">
        <v>18</v>
      </c>
      <c r="G306" s="2"/>
      <c r="H306" s="2" t="str">
        <f aca="false">VLOOKUP(B306,$N$2:$S$41,3,FALSE())</f>
        <v>Model-X</v>
      </c>
      <c r="I306" s="2" t="str">
        <f aca="false">VLOOKUP(B306,$N$2:$S$41,2,FALSE())</f>
        <v>Санкт-Петербург, Невский пр-т</v>
      </c>
      <c r="J306" s="2" t="n">
        <f aca="false">IF(F306="success",1,0)</f>
        <v>1</v>
      </c>
      <c r="K306" s="2" t="n">
        <f aca="false">VLOOKUP(H306,Lookup!$A$4:$B$6,2,FALSE())</f>
        <v>18</v>
      </c>
    </row>
    <row r="307" customFormat="false" ht="15" hidden="false" customHeight="false" outlineLevel="0" collapsed="false">
      <c r="A307" s="2" t="s">
        <v>416</v>
      </c>
      <c r="B307" s="2" t="s">
        <v>54</v>
      </c>
      <c r="C307" s="3" t="n">
        <v>46281.3187384259</v>
      </c>
      <c r="D307" s="2" t="s">
        <v>17</v>
      </c>
      <c r="E307" s="2" t="n">
        <v>10000</v>
      </c>
      <c r="F307" s="2" t="s">
        <v>18</v>
      </c>
      <c r="G307" s="2"/>
      <c r="H307" s="2" t="str">
        <f aca="false">VLOOKUP(B307,$N$2:$S$41,3,FALSE())</f>
        <v>Model-Z</v>
      </c>
      <c r="I307" s="2" t="str">
        <f aca="false">VLOOKUP(B307,$N$2:$S$41,2,FALSE())</f>
        <v>Санкт-Петербург, Лиговский пр-т</v>
      </c>
      <c r="J307" s="2" t="n">
        <f aca="false">IF(F307="success",1,0)</f>
        <v>1</v>
      </c>
      <c r="K307" s="2" t="n">
        <f aca="false">VLOOKUP(H307,Lookup!$A$4:$B$6,2,FALSE())</f>
        <v>16</v>
      </c>
    </row>
    <row r="308" customFormat="false" ht="15" hidden="false" customHeight="false" outlineLevel="0" collapsed="false">
      <c r="A308" s="2" t="s">
        <v>417</v>
      </c>
      <c r="B308" s="2" t="s">
        <v>84</v>
      </c>
      <c r="C308" s="3" t="n">
        <v>46281.3752199074</v>
      </c>
      <c r="D308" s="2" t="s">
        <v>29</v>
      </c>
      <c r="E308" s="2" t="n">
        <v>0</v>
      </c>
      <c r="F308" s="2" t="s">
        <v>18</v>
      </c>
      <c r="G308" s="2"/>
      <c r="H308" s="2" t="str">
        <f aca="false">VLOOKUP(B308,$N$2:$S$41,3,FALSE())</f>
        <v>Model-X</v>
      </c>
      <c r="I308" s="2" t="str">
        <f aca="false">VLOOKUP(B308,$N$2:$S$41,2,FALSE())</f>
        <v>Новосибирск, Красный пр-т</v>
      </c>
      <c r="J308" s="2" t="n">
        <f aca="false">IF(F308="success",1,0)</f>
        <v>1</v>
      </c>
      <c r="K308" s="2" t="n">
        <f aca="false">VLOOKUP(H308,Lookup!$A$4:$B$6,2,FALSE())</f>
        <v>18</v>
      </c>
    </row>
    <row r="309" customFormat="false" ht="15" hidden="false" customHeight="false" outlineLevel="0" collapsed="false">
      <c r="A309" s="2" t="s">
        <v>418</v>
      </c>
      <c r="B309" s="2" t="s">
        <v>59</v>
      </c>
      <c r="C309" s="3" t="n">
        <v>46281.3961574074</v>
      </c>
      <c r="D309" s="2" t="s">
        <v>17</v>
      </c>
      <c r="E309" s="2" t="n">
        <v>3000</v>
      </c>
      <c r="F309" s="2" t="s">
        <v>18</v>
      </c>
      <c r="G309" s="2"/>
      <c r="H309" s="2" t="str">
        <f aca="false">VLOOKUP(B309,$N$2:$S$41,3,FALSE())</f>
        <v>Model-X</v>
      </c>
      <c r="I309" s="2" t="str">
        <f aca="false">VLOOKUP(B309,$N$2:$S$41,2,FALSE())</f>
        <v>Санкт-Петербург, Большой пр-т</v>
      </c>
      <c r="J309" s="2" t="n">
        <f aca="false">IF(F309="success",1,0)</f>
        <v>1</v>
      </c>
      <c r="K309" s="2" t="n">
        <f aca="false">VLOOKUP(H309,Lookup!$A$4:$B$6,2,FALSE())</f>
        <v>18</v>
      </c>
    </row>
    <row r="310" customFormat="false" ht="15" hidden="false" customHeight="false" outlineLevel="0" collapsed="false">
      <c r="A310" s="2" t="s">
        <v>419</v>
      </c>
      <c r="B310" s="2" t="s">
        <v>69</v>
      </c>
      <c r="C310" s="3" t="n">
        <v>46281.3996990741</v>
      </c>
      <c r="D310" s="2" t="s">
        <v>29</v>
      </c>
      <c r="E310" s="2" t="n">
        <v>0</v>
      </c>
      <c r="F310" s="2" t="s">
        <v>18</v>
      </c>
      <c r="G310" s="2"/>
      <c r="H310" s="2" t="str">
        <f aca="false">VLOOKUP(B310,$N$2:$S$41,3,FALSE())</f>
        <v>Model-X</v>
      </c>
      <c r="I310" s="2" t="str">
        <f aca="false">VLOOKUP(B310,$N$2:$S$41,2,FALSE())</f>
        <v>Казань, Пушкина</v>
      </c>
      <c r="J310" s="2" t="n">
        <f aca="false">IF(F310="success",1,0)</f>
        <v>1</v>
      </c>
      <c r="K310" s="2" t="n">
        <f aca="false">VLOOKUP(H310,Lookup!$A$4:$B$6,2,FALSE())</f>
        <v>18</v>
      </c>
    </row>
    <row r="311" customFormat="false" ht="15" hidden="false" customHeight="false" outlineLevel="0" collapsed="false">
      <c r="A311" s="2" t="s">
        <v>420</v>
      </c>
      <c r="B311" s="2" t="s">
        <v>62</v>
      </c>
      <c r="C311" s="3" t="n">
        <v>46281.4039583333</v>
      </c>
      <c r="D311" s="2" t="s">
        <v>17</v>
      </c>
      <c r="E311" s="2" t="n">
        <v>7000</v>
      </c>
      <c r="F311" s="2" t="s">
        <v>18</v>
      </c>
      <c r="G311" s="2"/>
      <c r="H311" s="2" t="str">
        <f aca="false">VLOOKUP(B311,$N$2:$S$41,3,FALSE())</f>
        <v>Model-X</v>
      </c>
      <c r="I311" s="2" t="str">
        <f aca="false">VLOOKUP(B311,$N$2:$S$41,2,FALSE())</f>
        <v>Казань, Баумана</v>
      </c>
      <c r="J311" s="2" t="n">
        <f aca="false">IF(F311="success",1,0)</f>
        <v>1</v>
      </c>
      <c r="K311" s="2" t="n">
        <f aca="false">VLOOKUP(H311,Lookup!$A$4:$B$6,2,FALSE())</f>
        <v>18</v>
      </c>
    </row>
    <row r="312" customFormat="false" ht="15" hidden="false" customHeight="false" outlineLevel="0" collapsed="false">
      <c r="A312" s="2" t="s">
        <v>421</v>
      </c>
      <c r="B312" s="2" t="s">
        <v>114</v>
      </c>
      <c r="C312" s="3" t="n">
        <v>46281.4116319444</v>
      </c>
      <c r="D312" s="2" t="s">
        <v>17</v>
      </c>
      <c r="E312" s="2" t="n">
        <v>10000</v>
      </c>
      <c r="F312" s="2" t="s">
        <v>18</v>
      </c>
      <c r="G312" s="2"/>
      <c r="H312" s="2" t="str">
        <f aca="false">VLOOKUP(B312,$N$2:$S$41,3,FALSE())</f>
        <v>Model-Z</v>
      </c>
      <c r="I312" s="2" t="str">
        <f aca="false">VLOOKUP(B312,$N$2:$S$41,2,FALSE())</f>
        <v>Самара, Куйбышева</v>
      </c>
      <c r="J312" s="2" t="n">
        <f aca="false">IF(F312="success",1,0)</f>
        <v>1</v>
      </c>
      <c r="K312" s="2" t="n">
        <f aca="false">VLOOKUP(H312,Lookup!$A$4:$B$6,2,FALSE())</f>
        <v>16</v>
      </c>
    </row>
    <row r="313" customFormat="false" ht="15" hidden="false" customHeight="false" outlineLevel="0" collapsed="false">
      <c r="A313" s="2" t="s">
        <v>422</v>
      </c>
      <c r="B313" s="2" t="s">
        <v>114</v>
      </c>
      <c r="C313" s="3" t="n">
        <v>46281.4196875</v>
      </c>
      <c r="D313" s="2" t="s">
        <v>17</v>
      </c>
      <c r="E313" s="2" t="n">
        <v>1000</v>
      </c>
      <c r="F313" s="2" t="s">
        <v>18</v>
      </c>
      <c r="G313" s="2"/>
      <c r="H313" s="2" t="str">
        <f aca="false">VLOOKUP(B313,$N$2:$S$41,3,FALSE())</f>
        <v>Model-Z</v>
      </c>
      <c r="I313" s="2" t="str">
        <f aca="false">VLOOKUP(B313,$N$2:$S$41,2,FALSE())</f>
        <v>Самара, Куйбышева</v>
      </c>
      <c r="J313" s="2" t="n">
        <f aca="false">IF(F313="success",1,0)</f>
        <v>1</v>
      </c>
      <c r="K313" s="2" t="n">
        <f aca="false">VLOOKUP(H313,Lookup!$A$4:$B$6,2,FALSE())</f>
        <v>16</v>
      </c>
    </row>
    <row r="314" customFormat="false" ht="15" hidden="false" customHeight="false" outlineLevel="0" collapsed="false">
      <c r="A314" s="2" t="s">
        <v>423</v>
      </c>
      <c r="B314" s="2" t="s">
        <v>23</v>
      </c>
      <c r="C314" s="3" t="n">
        <v>46281.4232291667</v>
      </c>
      <c r="D314" s="2" t="s">
        <v>17</v>
      </c>
      <c r="E314" s="2" t="n">
        <v>1500</v>
      </c>
      <c r="F314" s="2" t="s">
        <v>18</v>
      </c>
      <c r="G314" s="2"/>
      <c r="H314" s="2" t="str">
        <f aca="false">VLOOKUP(B314,$N$2:$S$41,3,FALSE())</f>
        <v>Model-X</v>
      </c>
      <c r="I314" s="2" t="str">
        <f aca="false">VLOOKUP(B314,$N$2:$S$41,2,FALSE())</f>
        <v>Воронеж, Кольцовская</v>
      </c>
      <c r="J314" s="2" t="n">
        <f aca="false">IF(F314="success",1,0)</f>
        <v>1</v>
      </c>
      <c r="K314" s="2" t="n">
        <f aca="false">VLOOKUP(H314,Lookup!$A$4:$B$6,2,FALSE())</f>
        <v>18</v>
      </c>
    </row>
    <row r="315" customFormat="false" ht="15" hidden="false" customHeight="false" outlineLevel="0" collapsed="false">
      <c r="A315" s="2" t="s">
        <v>424</v>
      </c>
      <c r="B315" s="2" t="s">
        <v>130</v>
      </c>
      <c r="C315" s="3" t="n">
        <v>46281.4335185185</v>
      </c>
      <c r="D315" s="2" t="s">
        <v>65</v>
      </c>
      <c r="E315" s="2" t="n">
        <v>7000</v>
      </c>
      <c r="F315" s="2" t="s">
        <v>18</v>
      </c>
      <c r="G315" s="2"/>
      <c r="H315" s="2" t="str">
        <f aca="false">VLOOKUP(B315,$N$2:$S$41,3,FALSE())</f>
        <v>Model-Z</v>
      </c>
      <c r="I315" s="2" t="str">
        <f aca="false">VLOOKUP(B315,$N$2:$S$41,2,FALSE())</f>
        <v>Краснодар, Северная</v>
      </c>
      <c r="J315" s="2" t="n">
        <f aca="false">IF(F315="success",1,0)</f>
        <v>1</v>
      </c>
      <c r="K315" s="2" t="n">
        <f aca="false">VLOOKUP(H315,Lookup!$A$4:$B$6,2,FALSE())</f>
        <v>16</v>
      </c>
    </row>
    <row r="316" customFormat="false" ht="15" hidden="false" customHeight="false" outlineLevel="0" collapsed="false">
      <c r="A316" s="2" t="s">
        <v>425</v>
      </c>
      <c r="B316" s="2" t="s">
        <v>114</v>
      </c>
      <c r="C316" s="3" t="n">
        <v>46281.4478935185</v>
      </c>
      <c r="D316" s="2" t="s">
        <v>29</v>
      </c>
      <c r="E316" s="2" t="n">
        <v>0</v>
      </c>
      <c r="F316" s="2" t="s">
        <v>100</v>
      </c>
      <c r="G316" s="2"/>
      <c r="H316" s="2" t="str">
        <f aca="false">VLOOKUP(B316,$N$2:$S$41,3,FALSE())</f>
        <v>Model-Z</v>
      </c>
      <c r="I316" s="2" t="str">
        <f aca="false">VLOOKUP(B316,$N$2:$S$41,2,FALSE())</f>
        <v>Самара, Куйбышева</v>
      </c>
      <c r="J316" s="2" t="n">
        <f aca="false">IF(F316="success",1,0)</f>
        <v>0</v>
      </c>
      <c r="K316" s="2" t="n">
        <f aca="false">VLOOKUP(H316,Lookup!$A$4:$B$6,2,FALSE())</f>
        <v>16</v>
      </c>
    </row>
    <row r="317" customFormat="false" ht="15" hidden="false" customHeight="false" outlineLevel="0" collapsed="false">
      <c r="A317" s="2" t="s">
        <v>426</v>
      </c>
      <c r="B317" s="2" t="s">
        <v>34</v>
      </c>
      <c r="C317" s="3" t="n">
        <v>46281.4509837963</v>
      </c>
      <c r="D317" s="2" t="s">
        <v>46</v>
      </c>
      <c r="E317" s="2" t="n">
        <v>5000</v>
      </c>
      <c r="F317" s="2" t="s">
        <v>18</v>
      </c>
      <c r="G317" s="2"/>
      <c r="H317" s="2" t="str">
        <f aca="false">VLOOKUP(B317,$N$2:$S$41,3,FALSE())</f>
        <v>Model-X</v>
      </c>
      <c r="I317" s="2" t="str">
        <f aca="false">VLOOKUP(B317,$N$2:$S$41,2,FALSE())</f>
        <v>Москва, Профсоюзная</v>
      </c>
      <c r="J317" s="2" t="n">
        <f aca="false">IF(F317="success",1,0)</f>
        <v>1</v>
      </c>
      <c r="K317" s="2" t="n">
        <f aca="false">VLOOKUP(H317,Lookup!$A$4:$B$6,2,FALSE())</f>
        <v>18</v>
      </c>
    </row>
    <row r="318" customFormat="false" ht="15" hidden="false" customHeight="false" outlineLevel="0" collapsed="false">
      <c r="A318" s="2" t="s">
        <v>427</v>
      </c>
      <c r="B318" s="2" t="s">
        <v>73</v>
      </c>
      <c r="C318" s="3" t="n">
        <v>46281.5218981481</v>
      </c>
      <c r="D318" s="2" t="s">
        <v>17</v>
      </c>
      <c r="E318" s="2" t="n">
        <v>15000</v>
      </c>
      <c r="F318" s="2" t="s">
        <v>18</v>
      </c>
      <c r="G318" s="2"/>
      <c r="H318" s="2" t="str">
        <f aca="false">VLOOKUP(B318,$N$2:$S$41,3,FALSE())</f>
        <v>Model-Y</v>
      </c>
      <c r="I318" s="2" t="str">
        <f aca="false">VLOOKUP(B318,$N$2:$S$41,2,FALSE())</f>
        <v>Казань, Чистопольская</v>
      </c>
      <c r="J318" s="2" t="n">
        <f aca="false">IF(F318="success",1,0)</f>
        <v>1</v>
      </c>
      <c r="K318" s="2" t="n">
        <f aca="false">VLOOKUP(H318,Lookup!$A$4:$B$6,2,FALSE())</f>
        <v>14</v>
      </c>
    </row>
    <row r="319" customFormat="false" ht="15" hidden="false" customHeight="false" outlineLevel="0" collapsed="false">
      <c r="A319" s="2" t="s">
        <v>428</v>
      </c>
      <c r="B319" s="2" t="s">
        <v>84</v>
      </c>
      <c r="C319" s="3" t="n">
        <v>46281.5674652778</v>
      </c>
      <c r="D319" s="2" t="s">
        <v>17</v>
      </c>
      <c r="E319" s="2" t="n">
        <v>7000</v>
      </c>
      <c r="F319" s="2" t="s">
        <v>18</v>
      </c>
      <c r="G319" s="2"/>
      <c r="H319" s="2" t="str">
        <f aca="false">VLOOKUP(B319,$N$2:$S$41,3,FALSE())</f>
        <v>Model-X</v>
      </c>
      <c r="I319" s="2" t="str">
        <f aca="false">VLOOKUP(B319,$N$2:$S$41,2,FALSE())</f>
        <v>Новосибирск, Красный пр-т</v>
      </c>
      <c r="J319" s="2" t="n">
        <f aca="false">IF(F319="success",1,0)</f>
        <v>1</v>
      </c>
      <c r="K319" s="2" t="n">
        <f aca="false">VLOOKUP(H319,Lookup!$A$4:$B$6,2,FALSE())</f>
        <v>18</v>
      </c>
    </row>
    <row r="320" customFormat="false" ht="15" hidden="false" customHeight="false" outlineLevel="0" collapsed="false">
      <c r="A320" s="2" t="s">
        <v>429</v>
      </c>
      <c r="B320" s="2" t="s">
        <v>103</v>
      </c>
      <c r="C320" s="3" t="n">
        <v>46281.5771875</v>
      </c>
      <c r="D320" s="2" t="s">
        <v>29</v>
      </c>
      <c r="E320" s="2" t="n">
        <v>0</v>
      </c>
      <c r="F320" s="2" t="s">
        <v>18</v>
      </c>
      <c r="G320" s="2"/>
      <c r="H320" s="2" t="str">
        <f aca="false">VLOOKUP(B320,$N$2:$S$41,3,FALSE())</f>
        <v>Model-Y</v>
      </c>
      <c r="I320" s="2" t="str">
        <f aca="false">VLOOKUP(B320,$N$2:$S$41,2,FALSE())</f>
        <v>Нижний Новгород, Большая Покровская</v>
      </c>
      <c r="J320" s="2" t="n">
        <f aca="false">IF(F320="success",1,0)</f>
        <v>1</v>
      </c>
      <c r="K320" s="2" t="n">
        <f aca="false">VLOOKUP(H320,Lookup!$A$4:$B$6,2,FALSE())</f>
        <v>14</v>
      </c>
    </row>
    <row r="321" customFormat="false" ht="15" hidden="false" customHeight="false" outlineLevel="0" collapsed="false">
      <c r="A321" s="2" t="s">
        <v>430</v>
      </c>
      <c r="B321" s="2" t="s">
        <v>59</v>
      </c>
      <c r="C321" s="3" t="n">
        <v>46281.5984837963</v>
      </c>
      <c r="D321" s="2" t="s">
        <v>46</v>
      </c>
      <c r="E321" s="2" t="n">
        <v>10000</v>
      </c>
      <c r="F321" s="2" t="s">
        <v>18</v>
      </c>
      <c r="G321" s="2"/>
      <c r="H321" s="2" t="str">
        <f aca="false">VLOOKUP(B321,$N$2:$S$41,3,FALSE())</f>
        <v>Model-X</v>
      </c>
      <c r="I321" s="2" t="str">
        <f aca="false">VLOOKUP(B321,$N$2:$S$41,2,FALSE())</f>
        <v>Санкт-Петербург, Большой пр-т</v>
      </c>
      <c r="J321" s="2" t="n">
        <f aca="false">IF(F321="success",1,0)</f>
        <v>1</v>
      </c>
      <c r="K321" s="2" t="n">
        <f aca="false">VLOOKUP(H321,Lookup!$A$4:$B$6,2,FALSE())</f>
        <v>18</v>
      </c>
    </row>
    <row r="322" customFormat="false" ht="15" hidden="false" customHeight="false" outlineLevel="0" collapsed="false">
      <c r="A322" s="2" t="s">
        <v>431</v>
      </c>
      <c r="B322" s="2" t="s">
        <v>54</v>
      </c>
      <c r="C322" s="3" t="n">
        <v>46281.6258217593</v>
      </c>
      <c r="D322" s="2" t="s">
        <v>17</v>
      </c>
      <c r="E322" s="2" t="n">
        <v>3000</v>
      </c>
      <c r="F322" s="2" t="s">
        <v>18</v>
      </c>
      <c r="G322" s="2"/>
      <c r="H322" s="2" t="str">
        <f aca="false">VLOOKUP(B322,$N$2:$S$41,3,FALSE())</f>
        <v>Model-Z</v>
      </c>
      <c r="I322" s="2" t="str">
        <f aca="false">VLOOKUP(B322,$N$2:$S$41,2,FALSE())</f>
        <v>Санкт-Петербург, Лиговский пр-т</v>
      </c>
      <c r="J322" s="2" t="n">
        <f aca="false">IF(F322="success",1,0)</f>
        <v>1</v>
      </c>
      <c r="K322" s="2" t="n">
        <f aca="false">VLOOKUP(H322,Lookup!$A$4:$B$6,2,FALSE())</f>
        <v>16</v>
      </c>
    </row>
    <row r="323" customFormat="false" ht="15" hidden="false" customHeight="false" outlineLevel="0" collapsed="false">
      <c r="A323" s="2" t="s">
        <v>432</v>
      </c>
      <c r="B323" s="2" t="s">
        <v>45</v>
      </c>
      <c r="C323" s="3" t="n">
        <v>46281.662349537</v>
      </c>
      <c r="D323" s="2" t="s">
        <v>65</v>
      </c>
      <c r="E323" s="2" t="n">
        <v>1500</v>
      </c>
      <c r="F323" s="2" t="s">
        <v>18</v>
      </c>
      <c r="G323" s="2"/>
      <c r="H323" s="2" t="str">
        <f aca="false">VLOOKUP(B323,$N$2:$S$41,3,FALSE())</f>
        <v>Model-Y</v>
      </c>
      <c r="I323" s="2" t="str">
        <f aca="false">VLOOKUP(B323,$N$2:$S$41,2,FALSE())</f>
        <v>Воронеж, Плехановская</v>
      </c>
      <c r="J323" s="2" t="n">
        <f aca="false">IF(F323="success",1,0)</f>
        <v>1</v>
      </c>
      <c r="K323" s="2" t="n">
        <f aca="false">VLOOKUP(H323,Lookup!$A$4:$B$6,2,FALSE())</f>
        <v>14</v>
      </c>
    </row>
    <row r="324" customFormat="false" ht="15" hidden="false" customHeight="false" outlineLevel="0" collapsed="false">
      <c r="A324" s="2" t="s">
        <v>433</v>
      </c>
      <c r="B324" s="2" t="s">
        <v>81</v>
      </c>
      <c r="C324" s="3" t="n">
        <v>46281.6830902778</v>
      </c>
      <c r="D324" s="2" t="s">
        <v>17</v>
      </c>
      <c r="E324" s="2" t="n">
        <v>7000</v>
      </c>
      <c r="F324" s="2" t="s">
        <v>18</v>
      </c>
      <c r="G324" s="2"/>
      <c r="H324" s="2" t="str">
        <f aca="false">VLOOKUP(B324,$N$2:$S$41,3,FALSE())</f>
        <v>Model-X</v>
      </c>
      <c r="I324" s="2" t="str">
        <f aca="false">VLOOKUP(B324,$N$2:$S$41,2,FALSE())</f>
        <v>Екатеринбург, Малышева</v>
      </c>
      <c r="J324" s="2" t="n">
        <f aca="false">IF(F324="success",1,0)</f>
        <v>1</v>
      </c>
      <c r="K324" s="2" t="n">
        <f aca="false">VLOOKUP(H324,Lookup!$A$4:$B$6,2,FALSE())</f>
        <v>18</v>
      </c>
    </row>
    <row r="325" customFormat="false" ht="15" hidden="false" customHeight="false" outlineLevel="0" collapsed="false">
      <c r="A325" s="2" t="s">
        <v>434</v>
      </c>
      <c r="B325" s="2" t="s">
        <v>85</v>
      </c>
      <c r="C325" s="3" t="n">
        <v>46281.7391898148</v>
      </c>
      <c r="D325" s="2" t="s">
        <v>65</v>
      </c>
      <c r="E325" s="2" t="n">
        <v>1000</v>
      </c>
      <c r="F325" s="2" t="s">
        <v>18</v>
      </c>
      <c r="G325" s="2"/>
      <c r="H325" s="2" t="str">
        <f aca="false">VLOOKUP(B325,$N$2:$S$41,3,FALSE())</f>
        <v>Model-Y</v>
      </c>
      <c r="I325" s="2" t="str">
        <f aca="false">VLOOKUP(B325,$N$2:$S$41,2,FALSE())</f>
        <v>Екатеринбург, 8 Марта</v>
      </c>
      <c r="J325" s="2" t="n">
        <f aca="false">IF(F325="success",1,0)</f>
        <v>1</v>
      </c>
      <c r="K325" s="2" t="n">
        <f aca="false">VLOOKUP(H325,Lookup!$A$4:$B$6,2,FALSE())</f>
        <v>14</v>
      </c>
    </row>
    <row r="326" customFormat="false" ht="15" hidden="false" customHeight="false" outlineLevel="0" collapsed="false">
      <c r="A326" s="2" t="s">
        <v>435</v>
      </c>
      <c r="B326" s="2" t="s">
        <v>73</v>
      </c>
      <c r="C326" s="3" t="n">
        <v>46281.7674537037</v>
      </c>
      <c r="D326" s="2" t="s">
        <v>17</v>
      </c>
      <c r="E326" s="2" t="n">
        <v>15000</v>
      </c>
      <c r="F326" s="2" t="s">
        <v>18</v>
      </c>
      <c r="G326" s="2"/>
      <c r="H326" s="2" t="str">
        <f aca="false">VLOOKUP(B326,$N$2:$S$41,3,FALSE())</f>
        <v>Model-Y</v>
      </c>
      <c r="I326" s="2" t="str">
        <f aca="false">VLOOKUP(B326,$N$2:$S$41,2,FALSE())</f>
        <v>Казань, Чистопольская</v>
      </c>
      <c r="J326" s="2" t="n">
        <f aca="false">IF(F326="success",1,0)</f>
        <v>1</v>
      </c>
      <c r="K326" s="2" t="n">
        <f aca="false">VLOOKUP(H326,Lookup!$A$4:$B$6,2,FALSE())</f>
        <v>14</v>
      </c>
    </row>
    <row r="327" customFormat="false" ht="15" hidden="false" customHeight="false" outlineLevel="0" collapsed="false">
      <c r="A327" s="2" t="s">
        <v>436</v>
      </c>
      <c r="B327" s="2" t="s">
        <v>24</v>
      </c>
      <c r="C327" s="3" t="n">
        <v>46281.7977083333</v>
      </c>
      <c r="D327" s="2" t="s">
        <v>17</v>
      </c>
      <c r="E327" s="2" t="n">
        <v>500</v>
      </c>
      <c r="F327" s="2" t="s">
        <v>18</v>
      </c>
      <c r="G327" s="2"/>
      <c r="H327" s="2" t="str">
        <f aca="false">VLOOKUP(B327,$N$2:$S$41,3,FALSE())</f>
        <v>Model-Y</v>
      </c>
      <c r="I327" s="2" t="str">
        <f aca="false">VLOOKUP(B327,$N$2:$S$41,2,FALSE())</f>
        <v>Москва, Арбат</v>
      </c>
      <c r="J327" s="2" t="n">
        <f aca="false">IF(F327="success",1,0)</f>
        <v>1</v>
      </c>
      <c r="K327" s="2" t="n">
        <f aca="false">VLOOKUP(H327,Lookup!$A$4:$B$6,2,FALSE())</f>
        <v>14</v>
      </c>
    </row>
    <row r="328" customFormat="false" ht="15" hidden="false" customHeight="false" outlineLevel="0" collapsed="false">
      <c r="A328" s="2" t="s">
        <v>437</v>
      </c>
      <c r="B328" s="2" t="s">
        <v>59</v>
      </c>
      <c r="C328" s="3" t="n">
        <v>46281.8229166667</v>
      </c>
      <c r="D328" s="2" t="s">
        <v>29</v>
      </c>
      <c r="E328" s="2" t="n">
        <v>0</v>
      </c>
      <c r="F328" s="2" t="s">
        <v>18</v>
      </c>
      <c r="G328" s="2"/>
      <c r="H328" s="2" t="str">
        <f aca="false">VLOOKUP(B328,$N$2:$S$41,3,FALSE())</f>
        <v>Model-X</v>
      </c>
      <c r="I328" s="2" t="str">
        <f aca="false">VLOOKUP(B328,$N$2:$S$41,2,FALSE())</f>
        <v>Санкт-Петербург, Большой пр-т</v>
      </c>
      <c r="J328" s="2" t="n">
        <f aca="false">IF(F328="success",1,0)</f>
        <v>1</v>
      </c>
      <c r="K328" s="2" t="n">
        <f aca="false">VLOOKUP(H328,Lookup!$A$4:$B$6,2,FALSE())</f>
        <v>18</v>
      </c>
    </row>
    <row r="329" customFormat="false" ht="15" hidden="false" customHeight="false" outlineLevel="0" collapsed="false">
      <c r="A329" s="2" t="s">
        <v>438</v>
      </c>
      <c r="B329" s="2" t="s">
        <v>47</v>
      </c>
      <c r="C329" s="3" t="n">
        <v>46281.8932291667</v>
      </c>
      <c r="D329" s="2" t="s">
        <v>17</v>
      </c>
      <c r="E329" s="2" t="n">
        <v>10000</v>
      </c>
      <c r="F329" s="2" t="s">
        <v>18</v>
      </c>
      <c r="G329" s="2"/>
      <c r="H329" s="2" t="str">
        <f aca="false">VLOOKUP(B329,$N$2:$S$41,3,FALSE())</f>
        <v>Model-X</v>
      </c>
      <c r="I329" s="2" t="str">
        <f aca="false">VLOOKUP(B329,$N$2:$S$41,2,FALSE())</f>
        <v>Санкт-Петербург, Невский пр-т</v>
      </c>
      <c r="J329" s="2" t="n">
        <f aca="false">IF(F329="success",1,0)</f>
        <v>1</v>
      </c>
      <c r="K329" s="2" t="n">
        <f aca="false">VLOOKUP(H329,Lookup!$A$4:$B$6,2,FALSE())</f>
        <v>18</v>
      </c>
    </row>
    <row r="330" customFormat="false" ht="15" hidden="false" customHeight="false" outlineLevel="0" collapsed="false">
      <c r="A330" s="2" t="s">
        <v>439</v>
      </c>
      <c r="B330" s="2" t="s">
        <v>85</v>
      </c>
      <c r="C330" s="3" t="n">
        <v>46281.9190046296</v>
      </c>
      <c r="D330" s="2" t="s">
        <v>17</v>
      </c>
      <c r="E330" s="2" t="n">
        <v>2000</v>
      </c>
      <c r="F330" s="2" t="s">
        <v>18</v>
      </c>
      <c r="G330" s="2"/>
      <c r="H330" s="2" t="str">
        <f aca="false">VLOOKUP(B330,$N$2:$S$41,3,FALSE())</f>
        <v>Model-Y</v>
      </c>
      <c r="I330" s="2" t="str">
        <f aca="false">VLOOKUP(B330,$N$2:$S$41,2,FALSE())</f>
        <v>Екатеринбург, 8 Марта</v>
      </c>
      <c r="J330" s="2" t="n">
        <f aca="false">IF(F330="success",1,0)</f>
        <v>1</v>
      </c>
      <c r="K330" s="2" t="n">
        <f aca="false">VLOOKUP(H330,Lookup!$A$4:$B$6,2,FALSE())</f>
        <v>14</v>
      </c>
    </row>
    <row r="331" customFormat="false" ht="15" hidden="false" customHeight="false" outlineLevel="0" collapsed="false">
      <c r="A331" s="2" t="s">
        <v>440</v>
      </c>
      <c r="B331" s="2" t="s">
        <v>16</v>
      </c>
      <c r="C331" s="3" t="n">
        <v>46281.9346759259</v>
      </c>
      <c r="D331" s="2" t="s">
        <v>17</v>
      </c>
      <c r="E331" s="2" t="n">
        <v>1000</v>
      </c>
      <c r="F331" s="2" t="s">
        <v>18</v>
      </c>
      <c r="G331" s="2"/>
      <c r="H331" s="2" t="str">
        <f aca="false">VLOOKUP(B331,$N$2:$S$41,3,FALSE())</f>
        <v>Model-X</v>
      </c>
      <c r="I331" s="2" t="str">
        <f aca="false">VLOOKUP(B331,$N$2:$S$41,2,FALSE())</f>
        <v>Москва, Тверская</v>
      </c>
      <c r="J331" s="2" t="n">
        <f aca="false">IF(F331="success",1,0)</f>
        <v>1</v>
      </c>
      <c r="K331" s="2" t="n">
        <f aca="false">VLOOKUP(H331,Lookup!$A$4:$B$6,2,FALSE())</f>
        <v>18</v>
      </c>
    </row>
    <row r="332" customFormat="false" ht="15" hidden="false" customHeight="false" outlineLevel="0" collapsed="false">
      <c r="A332" s="2" t="s">
        <v>441</v>
      </c>
      <c r="B332" s="2" t="s">
        <v>125</v>
      </c>
      <c r="C332" s="3" t="n">
        <v>46282.0633449074</v>
      </c>
      <c r="D332" s="2" t="s">
        <v>29</v>
      </c>
      <c r="E332" s="2" t="n">
        <v>0</v>
      </c>
      <c r="F332" s="2" t="s">
        <v>18</v>
      </c>
      <c r="G332" s="2"/>
      <c r="H332" s="2" t="str">
        <f aca="false">VLOOKUP(B332,$N$2:$S$41,3,FALSE())</f>
        <v>Model-X</v>
      </c>
      <c r="I332" s="2" t="str">
        <f aca="false">VLOOKUP(B332,$N$2:$S$41,2,FALSE())</f>
        <v>Ростов-на-Дону, Пушкинская</v>
      </c>
      <c r="J332" s="2" t="n">
        <f aca="false">IF(F332="success",1,0)</f>
        <v>1</v>
      </c>
      <c r="K332" s="2" t="n">
        <f aca="false">VLOOKUP(H332,Lookup!$A$4:$B$6,2,FALSE())</f>
        <v>18</v>
      </c>
    </row>
    <row r="333" customFormat="false" ht="15" hidden="false" customHeight="false" outlineLevel="0" collapsed="false">
      <c r="A333" s="2" t="s">
        <v>442</v>
      </c>
      <c r="B333" s="2" t="s">
        <v>47</v>
      </c>
      <c r="C333" s="3" t="n">
        <v>46282.293287037</v>
      </c>
      <c r="D333" s="2" t="s">
        <v>65</v>
      </c>
      <c r="E333" s="2" t="n">
        <v>1500</v>
      </c>
      <c r="F333" s="2" t="s">
        <v>18</v>
      </c>
      <c r="G333" s="2"/>
      <c r="H333" s="2" t="str">
        <f aca="false">VLOOKUP(B333,$N$2:$S$41,3,FALSE())</f>
        <v>Model-X</v>
      </c>
      <c r="I333" s="2" t="str">
        <f aca="false">VLOOKUP(B333,$N$2:$S$41,2,FALSE())</f>
        <v>Санкт-Петербург, Невский пр-т</v>
      </c>
      <c r="J333" s="2" t="n">
        <f aca="false">IF(F333="success",1,0)</f>
        <v>1</v>
      </c>
      <c r="K333" s="2" t="n">
        <f aca="false">VLOOKUP(H333,Lookup!$A$4:$B$6,2,FALSE())</f>
        <v>18</v>
      </c>
    </row>
    <row r="334" customFormat="false" ht="15" hidden="false" customHeight="false" outlineLevel="0" collapsed="false">
      <c r="A334" s="2" t="s">
        <v>443</v>
      </c>
      <c r="B334" s="2" t="s">
        <v>85</v>
      </c>
      <c r="C334" s="3" t="n">
        <v>46282.3442939815</v>
      </c>
      <c r="D334" s="2" t="s">
        <v>17</v>
      </c>
      <c r="E334" s="2" t="n">
        <v>15000</v>
      </c>
      <c r="F334" s="2" t="s">
        <v>18</v>
      </c>
      <c r="G334" s="2"/>
      <c r="H334" s="2" t="str">
        <f aca="false">VLOOKUP(B334,$N$2:$S$41,3,FALSE())</f>
        <v>Model-Y</v>
      </c>
      <c r="I334" s="2" t="str">
        <f aca="false">VLOOKUP(B334,$N$2:$S$41,2,FALSE())</f>
        <v>Екатеринбург, 8 Марта</v>
      </c>
      <c r="J334" s="2" t="n">
        <f aca="false">IF(F334="success",1,0)</f>
        <v>1</v>
      </c>
      <c r="K334" s="2" t="n">
        <f aca="false">VLOOKUP(H334,Lookup!$A$4:$B$6,2,FALSE())</f>
        <v>14</v>
      </c>
    </row>
    <row r="335" customFormat="false" ht="15" hidden="false" customHeight="false" outlineLevel="0" collapsed="false">
      <c r="A335" s="2" t="s">
        <v>444</v>
      </c>
      <c r="B335" s="2" t="s">
        <v>35</v>
      </c>
      <c r="C335" s="3" t="n">
        <v>46282.3806597222</v>
      </c>
      <c r="D335" s="2" t="s">
        <v>29</v>
      </c>
      <c r="E335" s="2" t="n">
        <v>0</v>
      </c>
      <c r="F335" s="2" t="s">
        <v>18</v>
      </c>
      <c r="G335" s="2"/>
      <c r="H335" s="2" t="str">
        <f aca="false">VLOOKUP(B335,$N$2:$S$41,3,FALSE())</f>
        <v>Model-X</v>
      </c>
      <c r="I335" s="2" t="str">
        <f aca="false">VLOOKUP(B335,$N$2:$S$41,2,FALSE())</f>
        <v>Москва, Ленинградский пр-т</v>
      </c>
      <c r="J335" s="2" t="n">
        <f aca="false">IF(F335="success",1,0)</f>
        <v>1</v>
      </c>
      <c r="K335" s="2" t="n">
        <f aca="false">VLOOKUP(H335,Lookup!$A$4:$B$6,2,FALSE())</f>
        <v>18</v>
      </c>
    </row>
    <row r="336" customFormat="false" ht="15" hidden="false" customHeight="false" outlineLevel="0" collapsed="false">
      <c r="A336" s="2" t="s">
        <v>445</v>
      </c>
      <c r="B336" s="2" t="s">
        <v>47</v>
      </c>
      <c r="C336" s="3" t="n">
        <v>46282.3944444444</v>
      </c>
      <c r="D336" s="2" t="s">
        <v>46</v>
      </c>
      <c r="E336" s="2" t="n">
        <v>3000</v>
      </c>
      <c r="F336" s="2" t="s">
        <v>18</v>
      </c>
      <c r="G336" s="2"/>
      <c r="H336" s="2" t="str">
        <f aca="false">VLOOKUP(B336,$N$2:$S$41,3,FALSE())</f>
        <v>Model-X</v>
      </c>
      <c r="I336" s="2" t="str">
        <f aca="false">VLOOKUP(B336,$N$2:$S$41,2,FALSE())</f>
        <v>Санкт-Петербург, Невский пр-т</v>
      </c>
      <c r="J336" s="2" t="n">
        <f aca="false">IF(F336="success",1,0)</f>
        <v>1</v>
      </c>
      <c r="K336" s="2" t="n">
        <f aca="false">VLOOKUP(H336,Lookup!$A$4:$B$6,2,FALSE())</f>
        <v>18</v>
      </c>
    </row>
    <row r="337" customFormat="false" ht="15" hidden="false" customHeight="false" outlineLevel="0" collapsed="false">
      <c r="A337" s="2" t="s">
        <v>446</v>
      </c>
      <c r="B337" s="2" t="s">
        <v>47</v>
      </c>
      <c r="C337" s="3" t="n">
        <v>46282.4127430556</v>
      </c>
      <c r="D337" s="2" t="s">
        <v>29</v>
      </c>
      <c r="E337" s="2" t="n">
        <v>0</v>
      </c>
      <c r="F337" s="2" t="s">
        <v>18</v>
      </c>
      <c r="G337" s="2"/>
      <c r="H337" s="2" t="str">
        <f aca="false">VLOOKUP(B337,$N$2:$S$41,3,FALSE())</f>
        <v>Model-X</v>
      </c>
      <c r="I337" s="2" t="str">
        <f aca="false">VLOOKUP(B337,$N$2:$S$41,2,FALSE())</f>
        <v>Санкт-Петербург, Невский пр-т</v>
      </c>
      <c r="J337" s="2" t="n">
        <f aca="false">IF(F337="success",1,0)</f>
        <v>1</v>
      </c>
      <c r="K337" s="2" t="n">
        <f aca="false">VLOOKUP(H337,Lookup!$A$4:$B$6,2,FALSE())</f>
        <v>18</v>
      </c>
    </row>
    <row r="338" customFormat="false" ht="15" hidden="false" customHeight="false" outlineLevel="0" collapsed="false">
      <c r="A338" s="2" t="s">
        <v>447</v>
      </c>
      <c r="B338" s="2" t="s">
        <v>53</v>
      </c>
      <c r="C338" s="3" t="n">
        <v>46282.4337037037</v>
      </c>
      <c r="D338" s="2" t="s">
        <v>17</v>
      </c>
      <c r="E338" s="2" t="n">
        <v>15000</v>
      </c>
      <c r="F338" s="2" t="s">
        <v>18</v>
      </c>
      <c r="G338" s="2"/>
      <c r="H338" s="2" t="str">
        <f aca="false">VLOOKUP(B338,$N$2:$S$41,3,FALSE())</f>
        <v>Model-Z</v>
      </c>
      <c r="I338" s="2" t="str">
        <f aca="false">VLOOKUP(B338,$N$2:$S$41,2,FALSE())</f>
        <v>Ростов-на-Дону, Будённовский</v>
      </c>
      <c r="J338" s="2" t="n">
        <f aca="false">IF(F338="success",1,0)</f>
        <v>1</v>
      </c>
      <c r="K338" s="2" t="n">
        <f aca="false">VLOOKUP(H338,Lookup!$A$4:$B$6,2,FALSE())</f>
        <v>16</v>
      </c>
    </row>
    <row r="339" customFormat="false" ht="15" hidden="false" customHeight="false" outlineLevel="0" collapsed="false">
      <c r="A339" s="2" t="s">
        <v>448</v>
      </c>
      <c r="B339" s="2" t="s">
        <v>125</v>
      </c>
      <c r="C339" s="3" t="n">
        <v>46282.4359027778</v>
      </c>
      <c r="D339" s="2" t="s">
        <v>17</v>
      </c>
      <c r="E339" s="2" t="n">
        <v>7000</v>
      </c>
      <c r="F339" s="2" t="s">
        <v>18</v>
      </c>
      <c r="G339" s="2"/>
      <c r="H339" s="2" t="str">
        <f aca="false">VLOOKUP(B339,$N$2:$S$41,3,FALSE())</f>
        <v>Model-X</v>
      </c>
      <c r="I339" s="2" t="str">
        <f aca="false">VLOOKUP(B339,$N$2:$S$41,2,FALSE())</f>
        <v>Ростов-на-Дону, Пушкинская</v>
      </c>
      <c r="J339" s="2" t="n">
        <f aca="false">IF(F339="success",1,0)</f>
        <v>1</v>
      </c>
      <c r="K339" s="2" t="n">
        <f aca="false">VLOOKUP(H339,Lookup!$A$4:$B$6,2,FALSE())</f>
        <v>18</v>
      </c>
    </row>
    <row r="340" customFormat="false" ht="15" hidden="false" customHeight="false" outlineLevel="0" collapsed="false">
      <c r="A340" s="2" t="s">
        <v>449</v>
      </c>
      <c r="B340" s="2" t="s">
        <v>30</v>
      </c>
      <c r="C340" s="3" t="n">
        <v>46282.4492708333</v>
      </c>
      <c r="D340" s="2" t="s">
        <v>29</v>
      </c>
      <c r="E340" s="2" t="n">
        <v>0</v>
      </c>
      <c r="F340" s="2" t="s">
        <v>18</v>
      </c>
      <c r="G340" s="2"/>
      <c r="H340" s="2" t="str">
        <f aca="false">VLOOKUP(B340,$N$2:$S$41,3,FALSE())</f>
        <v>Model-Z</v>
      </c>
      <c r="I340" s="2" t="str">
        <f aca="false">VLOOKUP(B340,$N$2:$S$41,2,FALSE())</f>
        <v>Москва, Новослободская</v>
      </c>
      <c r="J340" s="2" t="n">
        <f aca="false">IF(F340="success",1,0)</f>
        <v>1</v>
      </c>
      <c r="K340" s="2" t="n">
        <f aca="false">VLOOKUP(H340,Lookup!$A$4:$B$6,2,FALSE())</f>
        <v>16</v>
      </c>
    </row>
    <row r="341" customFormat="false" ht="15" hidden="false" customHeight="false" outlineLevel="0" collapsed="false">
      <c r="A341" s="2" t="s">
        <v>450</v>
      </c>
      <c r="B341" s="2" t="s">
        <v>114</v>
      </c>
      <c r="C341" s="3" t="n">
        <v>46282.4658101852</v>
      </c>
      <c r="D341" s="2" t="s">
        <v>29</v>
      </c>
      <c r="E341" s="2" t="n">
        <v>0</v>
      </c>
      <c r="F341" s="2" t="s">
        <v>18</v>
      </c>
      <c r="G341" s="2"/>
      <c r="H341" s="2" t="str">
        <f aca="false">VLOOKUP(B341,$N$2:$S$41,3,FALSE())</f>
        <v>Model-Z</v>
      </c>
      <c r="I341" s="2" t="str">
        <f aca="false">VLOOKUP(B341,$N$2:$S$41,2,FALSE())</f>
        <v>Самара, Куйбышева</v>
      </c>
      <c r="J341" s="2" t="n">
        <f aca="false">IF(F341="success",1,0)</f>
        <v>1</v>
      </c>
      <c r="K341" s="2" t="n">
        <f aca="false">VLOOKUP(H341,Lookup!$A$4:$B$6,2,FALSE())</f>
        <v>16</v>
      </c>
    </row>
    <row r="342" customFormat="false" ht="15" hidden="false" customHeight="false" outlineLevel="0" collapsed="false">
      <c r="A342" s="2" t="s">
        <v>451</v>
      </c>
      <c r="B342" s="2" t="s">
        <v>59</v>
      </c>
      <c r="C342" s="3" t="n">
        <v>46282.46875</v>
      </c>
      <c r="D342" s="2" t="s">
        <v>65</v>
      </c>
      <c r="E342" s="2" t="n">
        <v>5000</v>
      </c>
      <c r="F342" s="2" t="s">
        <v>18</v>
      </c>
      <c r="G342" s="2"/>
      <c r="H342" s="2" t="str">
        <f aca="false">VLOOKUP(B342,$N$2:$S$41,3,FALSE())</f>
        <v>Model-X</v>
      </c>
      <c r="I342" s="2" t="str">
        <f aca="false">VLOOKUP(B342,$N$2:$S$41,2,FALSE())</f>
        <v>Санкт-Петербург, Большой пр-т</v>
      </c>
      <c r="J342" s="2" t="n">
        <f aca="false">IF(F342="success",1,0)</f>
        <v>1</v>
      </c>
      <c r="K342" s="2" t="n">
        <f aca="false">VLOOKUP(H342,Lookup!$A$4:$B$6,2,FALSE())</f>
        <v>18</v>
      </c>
    </row>
    <row r="343" customFormat="false" ht="15" hidden="false" customHeight="false" outlineLevel="0" collapsed="false">
      <c r="A343" s="2" t="s">
        <v>452</v>
      </c>
      <c r="B343" s="2" t="s">
        <v>139</v>
      </c>
      <c r="C343" s="3" t="n">
        <v>46282.5037037037</v>
      </c>
      <c r="D343" s="2" t="s">
        <v>46</v>
      </c>
      <c r="E343" s="2" t="n">
        <v>5000</v>
      </c>
      <c r="F343" s="2" t="s">
        <v>18</v>
      </c>
      <c r="G343" s="2"/>
      <c r="H343" s="2" t="str">
        <f aca="false">VLOOKUP(B343,$N$2:$S$41,3,FALSE())</f>
        <v>Model-X</v>
      </c>
      <c r="I343" s="2" t="str">
        <f aca="false">VLOOKUP(B343,$N$2:$S$41,2,FALSE())</f>
        <v>Воронеж, Революции</v>
      </c>
      <c r="J343" s="2" t="n">
        <f aca="false">IF(F343="success",1,0)</f>
        <v>1</v>
      </c>
      <c r="K343" s="2" t="n">
        <f aca="false">VLOOKUP(H343,Lookup!$A$4:$B$6,2,FALSE())</f>
        <v>18</v>
      </c>
    </row>
    <row r="344" customFormat="false" ht="15" hidden="false" customHeight="false" outlineLevel="0" collapsed="false">
      <c r="A344" s="2" t="s">
        <v>453</v>
      </c>
      <c r="B344" s="2" t="s">
        <v>81</v>
      </c>
      <c r="C344" s="3" t="n">
        <v>46282.5497569444</v>
      </c>
      <c r="D344" s="2" t="s">
        <v>17</v>
      </c>
      <c r="E344" s="2" t="n">
        <v>500</v>
      </c>
      <c r="F344" s="2" t="s">
        <v>18</v>
      </c>
      <c r="G344" s="2"/>
      <c r="H344" s="2" t="str">
        <f aca="false">VLOOKUP(B344,$N$2:$S$41,3,FALSE())</f>
        <v>Model-X</v>
      </c>
      <c r="I344" s="2" t="str">
        <f aca="false">VLOOKUP(B344,$N$2:$S$41,2,FALSE())</f>
        <v>Екатеринбург, Малышева</v>
      </c>
      <c r="J344" s="2" t="n">
        <f aca="false">IF(F344="success",1,0)</f>
        <v>1</v>
      </c>
      <c r="K344" s="2" t="n">
        <f aca="false">VLOOKUP(H344,Lookup!$A$4:$B$6,2,FALSE())</f>
        <v>18</v>
      </c>
    </row>
    <row r="345" customFormat="false" ht="15" hidden="false" customHeight="false" outlineLevel="0" collapsed="false">
      <c r="A345" s="2" t="s">
        <v>454</v>
      </c>
      <c r="B345" s="2" t="s">
        <v>62</v>
      </c>
      <c r="C345" s="3" t="n">
        <v>46282.5894560185</v>
      </c>
      <c r="D345" s="2" t="s">
        <v>17</v>
      </c>
      <c r="E345" s="2" t="n">
        <v>2000</v>
      </c>
      <c r="F345" s="2" t="s">
        <v>18</v>
      </c>
      <c r="G345" s="2"/>
      <c r="H345" s="2" t="str">
        <f aca="false">VLOOKUP(B345,$N$2:$S$41,3,FALSE())</f>
        <v>Model-X</v>
      </c>
      <c r="I345" s="2" t="str">
        <f aca="false">VLOOKUP(B345,$N$2:$S$41,2,FALSE())</f>
        <v>Казань, Баумана</v>
      </c>
      <c r="J345" s="2" t="n">
        <f aca="false">IF(F345="success",1,0)</f>
        <v>1</v>
      </c>
      <c r="K345" s="2" t="n">
        <f aca="false">VLOOKUP(H345,Lookup!$A$4:$B$6,2,FALSE())</f>
        <v>18</v>
      </c>
    </row>
    <row r="346" customFormat="false" ht="15" hidden="false" customHeight="false" outlineLevel="0" collapsed="false">
      <c r="A346" s="2" t="s">
        <v>455</v>
      </c>
      <c r="B346" s="2" t="s">
        <v>53</v>
      </c>
      <c r="C346" s="3" t="n">
        <v>46282.5986111111</v>
      </c>
      <c r="D346" s="2" t="s">
        <v>17</v>
      </c>
      <c r="E346" s="2" t="n">
        <v>3000</v>
      </c>
      <c r="F346" s="2" t="s">
        <v>18</v>
      </c>
      <c r="G346" s="2"/>
      <c r="H346" s="2" t="str">
        <f aca="false">VLOOKUP(B346,$N$2:$S$41,3,FALSE())</f>
        <v>Model-Z</v>
      </c>
      <c r="I346" s="2" t="str">
        <f aca="false">VLOOKUP(B346,$N$2:$S$41,2,FALSE())</f>
        <v>Ростов-на-Дону, Будённовский</v>
      </c>
      <c r="J346" s="2" t="n">
        <f aca="false">IF(F346="success",1,0)</f>
        <v>1</v>
      </c>
      <c r="K346" s="2" t="n">
        <f aca="false">VLOOKUP(H346,Lookup!$A$4:$B$6,2,FALSE())</f>
        <v>16</v>
      </c>
    </row>
    <row r="347" customFormat="false" ht="15" hidden="false" customHeight="false" outlineLevel="0" collapsed="false">
      <c r="A347" s="2" t="s">
        <v>456</v>
      </c>
      <c r="B347" s="2" t="s">
        <v>24</v>
      </c>
      <c r="C347" s="3" t="n">
        <v>46282.5995138889</v>
      </c>
      <c r="D347" s="2" t="s">
        <v>17</v>
      </c>
      <c r="E347" s="2" t="n">
        <v>1500</v>
      </c>
      <c r="F347" s="2" t="s">
        <v>18</v>
      </c>
      <c r="G347" s="2"/>
      <c r="H347" s="2" t="str">
        <f aca="false">VLOOKUP(B347,$N$2:$S$41,3,FALSE())</f>
        <v>Model-Y</v>
      </c>
      <c r="I347" s="2" t="str">
        <f aca="false">VLOOKUP(B347,$N$2:$S$41,2,FALSE())</f>
        <v>Москва, Арбат</v>
      </c>
      <c r="J347" s="2" t="n">
        <f aca="false">IF(F347="success",1,0)</f>
        <v>1</v>
      </c>
      <c r="K347" s="2" t="n">
        <f aca="false">VLOOKUP(H347,Lookup!$A$4:$B$6,2,FALSE())</f>
        <v>14</v>
      </c>
    </row>
    <row r="348" customFormat="false" ht="15" hidden="false" customHeight="false" outlineLevel="0" collapsed="false">
      <c r="A348" s="2" t="s">
        <v>457</v>
      </c>
      <c r="B348" s="2" t="s">
        <v>114</v>
      </c>
      <c r="C348" s="3" t="n">
        <v>46282.6342013889</v>
      </c>
      <c r="D348" s="2" t="s">
        <v>17</v>
      </c>
      <c r="E348" s="2" t="n">
        <v>7000</v>
      </c>
      <c r="F348" s="2" t="s">
        <v>18</v>
      </c>
      <c r="G348" s="2"/>
      <c r="H348" s="2" t="str">
        <f aca="false">VLOOKUP(B348,$N$2:$S$41,3,FALSE())</f>
        <v>Model-Z</v>
      </c>
      <c r="I348" s="2" t="str">
        <f aca="false">VLOOKUP(B348,$N$2:$S$41,2,FALSE())</f>
        <v>Самара, Куйбышева</v>
      </c>
      <c r="J348" s="2" t="n">
        <f aca="false">IF(F348="success",1,0)</f>
        <v>1</v>
      </c>
      <c r="K348" s="2" t="n">
        <f aca="false">VLOOKUP(H348,Lookup!$A$4:$B$6,2,FALSE())</f>
        <v>16</v>
      </c>
    </row>
    <row r="349" customFormat="false" ht="15" hidden="false" customHeight="false" outlineLevel="0" collapsed="false">
      <c r="A349" s="2" t="s">
        <v>458</v>
      </c>
      <c r="B349" s="2" t="s">
        <v>118</v>
      </c>
      <c r="C349" s="3" t="n">
        <v>46282.6416666667</v>
      </c>
      <c r="D349" s="2" t="s">
        <v>17</v>
      </c>
      <c r="E349" s="2" t="n">
        <v>500</v>
      </c>
      <c r="F349" s="2" t="s">
        <v>18</v>
      </c>
      <c r="G349" s="2"/>
      <c r="H349" s="2" t="str">
        <f aca="false">VLOOKUP(B349,$N$2:$S$41,3,FALSE())</f>
        <v>Model-X</v>
      </c>
      <c r="I349" s="2" t="str">
        <f aca="false">VLOOKUP(B349,$N$2:$S$41,2,FALSE())</f>
        <v>Самара, Молодогвардейская</v>
      </c>
      <c r="J349" s="2" t="n">
        <f aca="false">IF(F349="success",1,0)</f>
        <v>1</v>
      </c>
      <c r="K349" s="2" t="n">
        <f aca="false">VLOOKUP(H349,Lookup!$A$4:$B$6,2,FALSE())</f>
        <v>18</v>
      </c>
    </row>
    <row r="350" customFormat="false" ht="15" hidden="false" customHeight="false" outlineLevel="0" collapsed="false">
      <c r="A350" s="2" t="s">
        <v>459</v>
      </c>
      <c r="B350" s="2" t="s">
        <v>58</v>
      </c>
      <c r="C350" s="3" t="n">
        <v>46282.6441435185</v>
      </c>
      <c r="D350" s="2" t="s">
        <v>17</v>
      </c>
      <c r="E350" s="2" t="n">
        <v>7000</v>
      </c>
      <c r="F350" s="2" t="s">
        <v>18</v>
      </c>
      <c r="G350" s="2"/>
      <c r="H350" s="2" t="str">
        <f aca="false">VLOOKUP(B350,$N$2:$S$41,3,FALSE())</f>
        <v>Model-Y</v>
      </c>
      <c r="I350" s="2" t="str">
        <f aca="false">VLOOKUP(B350,$N$2:$S$41,2,FALSE())</f>
        <v>Краснодар, Красная</v>
      </c>
      <c r="J350" s="2" t="n">
        <f aca="false">IF(F350="success",1,0)</f>
        <v>1</v>
      </c>
      <c r="K350" s="2" t="n">
        <f aca="false">VLOOKUP(H350,Lookup!$A$4:$B$6,2,FALSE())</f>
        <v>14</v>
      </c>
    </row>
    <row r="351" customFormat="false" ht="15" hidden="false" customHeight="false" outlineLevel="0" collapsed="false">
      <c r="A351" s="2" t="s">
        <v>460</v>
      </c>
      <c r="B351" s="2" t="s">
        <v>72</v>
      </c>
      <c r="C351" s="3" t="n">
        <v>46282.6582523148</v>
      </c>
      <c r="D351" s="2" t="s">
        <v>17</v>
      </c>
      <c r="E351" s="2" t="n">
        <v>1500</v>
      </c>
      <c r="F351" s="2" t="s">
        <v>18</v>
      </c>
      <c r="G351" s="2"/>
      <c r="H351" s="2" t="str">
        <f aca="false">VLOOKUP(B351,$N$2:$S$41,3,FALSE())</f>
        <v>Model-Y</v>
      </c>
      <c r="I351" s="2" t="str">
        <f aca="false">VLOOKUP(B351,$N$2:$S$41,2,FALSE())</f>
        <v>Ростов-на-Дону, Садовая</v>
      </c>
      <c r="J351" s="2" t="n">
        <f aca="false">IF(F351="success",1,0)</f>
        <v>1</v>
      </c>
      <c r="K351" s="2" t="n">
        <f aca="false">VLOOKUP(H351,Lookup!$A$4:$B$6,2,FALSE())</f>
        <v>14</v>
      </c>
    </row>
    <row r="352" customFormat="false" ht="15" hidden="false" customHeight="false" outlineLevel="0" collapsed="false">
      <c r="A352" s="2" t="s">
        <v>461</v>
      </c>
      <c r="B352" s="2" t="s">
        <v>34</v>
      </c>
      <c r="C352" s="3" t="n">
        <v>46282.7375694444</v>
      </c>
      <c r="D352" s="2" t="s">
        <v>17</v>
      </c>
      <c r="E352" s="2" t="n">
        <v>3000</v>
      </c>
      <c r="F352" s="2" t="s">
        <v>18</v>
      </c>
      <c r="G352" s="2"/>
      <c r="H352" s="2" t="str">
        <f aca="false">VLOOKUP(B352,$N$2:$S$41,3,FALSE())</f>
        <v>Model-X</v>
      </c>
      <c r="I352" s="2" t="str">
        <f aca="false">VLOOKUP(B352,$N$2:$S$41,2,FALSE())</f>
        <v>Москва, Профсоюзная</v>
      </c>
      <c r="J352" s="2" t="n">
        <f aca="false">IF(F352="success",1,0)</f>
        <v>1</v>
      </c>
      <c r="K352" s="2" t="n">
        <f aca="false">VLOOKUP(H352,Lookup!$A$4:$B$6,2,FALSE())</f>
        <v>18</v>
      </c>
    </row>
    <row r="353" customFormat="false" ht="15" hidden="false" customHeight="false" outlineLevel="0" collapsed="false">
      <c r="A353" s="2" t="s">
        <v>462</v>
      </c>
      <c r="B353" s="2" t="s">
        <v>73</v>
      </c>
      <c r="C353" s="3" t="n">
        <v>46282.7470486111</v>
      </c>
      <c r="D353" s="2" t="s">
        <v>17</v>
      </c>
      <c r="E353" s="2" t="n">
        <v>15000</v>
      </c>
      <c r="F353" s="2" t="s">
        <v>18</v>
      </c>
      <c r="G353" s="2"/>
      <c r="H353" s="2" t="str">
        <f aca="false">VLOOKUP(B353,$N$2:$S$41,3,FALSE())</f>
        <v>Model-Y</v>
      </c>
      <c r="I353" s="2" t="str">
        <f aca="false">VLOOKUP(B353,$N$2:$S$41,2,FALSE())</f>
        <v>Казань, Чистопольская</v>
      </c>
      <c r="J353" s="2" t="n">
        <f aca="false">IF(F353="success",1,0)</f>
        <v>1</v>
      </c>
      <c r="K353" s="2" t="n">
        <f aca="false">VLOOKUP(H353,Lookup!$A$4:$B$6,2,FALSE())</f>
        <v>14</v>
      </c>
    </row>
    <row r="354" customFormat="false" ht="15" hidden="false" customHeight="false" outlineLevel="0" collapsed="false">
      <c r="A354" s="2" t="s">
        <v>463</v>
      </c>
      <c r="B354" s="2" t="s">
        <v>38</v>
      </c>
      <c r="C354" s="3" t="n">
        <v>46282.7693981482</v>
      </c>
      <c r="D354" s="2" t="s">
        <v>17</v>
      </c>
      <c r="E354" s="2" t="n">
        <v>10000</v>
      </c>
      <c r="F354" s="2" t="s">
        <v>18</v>
      </c>
      <c r="G354" s="2"/>
      <c r="H354" s="2" t="str">
        <f aca="false">VLOOKUP(B354,$N$2:$S$41,3,FALSE())</f>
        <v>Model-Z</v>
      </c>
      <c r="I354" s="2" t="str">
        <f aca="false">VLOOKUP(B354,$N$2:$S$41,2,FALSE())</f>
        <v>Казань, Кремлёвская</v>
      </c>
      <c r="J354" s="2" t="n">
        <f aca="false">IF(F354="success",1,0)</f>
        <v>1</v>
      </c>
      <c r="K354" s="2" t="n">
        <f aca="false">VLOOKUP(H354,Lookup!$A$4:$B$6,2,FALSE())</f>
        <v>16</v>
      </c>
    </row>
    <row r="355" customFormat="false" ht="15" hidden="false" customHeight="false" outlineLevel="0" collapsed="false">
      <c r="A355" s="2" t="s">
        <v>464</v>
      </c>
      <c r="B355" s="2" t="s">
        <v>23</v>
      </c>
      <c r="C355" s="3" t="n">
        <v>46282.8243981482</v>
      </c>
      <c r="D355" s="2" t="s">
        <v>46</v>
      </c>
      <c r="E355" s="2" t="n">
        <v>500</v>
      </c>
      <c r="F355" s="2" t="s">
        <v>18</v>
      </c>
      <c r="G355" s="2"/>
      <c r="H355" s="2" t="str">
        <f aca="false">VLOOKUP(B355,$N$2:$S$41,3,FALSE())</f>
        <v>Model-X</v>
      </c>
      <c r="I355" s="2" t="str">
        <f aca="false">VLOOKUP(B355,$N$2:$S$41,2,FALSE())</f>
        <v>Воронеж, Кольцовская</v>
      </c>
      <c r="J355" s="2" t="n">
        <f aca="false">IF(F355="success",1,0)</f>
        <v>1</v>
      </c>
      <c r="K355" s="2" t="n">
        <f aca="false">VLOOKUP(H355,Lookup!$A$4:$B$6,2,FALSE())</f>
        <v>18</v>
      </c>
    </row>
    <row r="356" customFormat="false" ht="15" hidden="false" customHeight="false" outlineLevel="0" collapsed="false">
      <c r="A356" s="2" t="s">
        <v>465</v>
      </c>
      <c r="B356" s="2" t="s">
        <v>16</v>
      </c>
      <c r="C356" s="3" t="n">
        <v>46282.8406134259</v>
      </c>
      <c r="D356" s="2" t="s">
        <v>65</v>
      </c>
      <c r="E356" s="2" t="n">
        <v>5000</v>
      </c>
      <c r="F356" s="2" t="s">
        <v>76</v>
      </c>
      <c r="G356" s="2" t="s">
        <v>77</v>
      </c>
      <c r="H356" s="2" t="str">
        <f aca="false">VLOOKUP(B356,$N$2:$S$41,3,FALSE())</f>
        <v>Model-X</v>
      </c>
      <c r="I356" s="2" t="str">
        <f aca="false">VLOOKUP(B356,$N$2:$S$41,2,FALSE())</f>
        <v>Москва, Тверская</v>
      </c>
      <c r="J356" s="2" t="n">
        <f aca="false">IF(F356="success",1,0)</f>
        <v>0</v>
      </c>
      <c r="K356" s="2" t="n">
        <f aca="false">VLOOKUP(H356,Lookup!$A$4:$B$6,2,FALSE())</f>
        <v>18</v>
      </c>
    </row>
    <row r="357" customFormat="false" ht="15" hidden="false" customHeight="false" outlineLevel="0" collapsed="false">
      <c r="A357" s="2" t="s">
        <v>466</v>
      </c>
      <c r="B357" s="2" t="s">
        <v>84</v>
      </c>
      <c r="C357" s="3" t="n">
        <v>46282.8436689815</v>
      </c>
      <c r="D357" s="2" t="s">
        <v>17</v>
      </c>
      <c r="E357" s="2" t="n">
        <v>7000</v>
      </c>
      <c r="F357" s="2" t="s">
        <v>18</v>
      </c>
      <c r="G357" s="2"/>
      <c r="H357" s="2" t="str">
        <f aca="false">VLOOKUP(B357,$N$2:$S$41,3,FALSE())</f>
        <v>Model-X</v>
      </c>
      <c r="I357" s="2" t="str">
        <f aca="false">VLOOKUP(B357,$N$2:$S$41,2,FALSE())</f>
        <v>Новосибирск, Красный пр-т</v>
      </c>
      <c r="J357" s="2" t="n">
        <f aca="false">IF(F357="success",1,0)</f>
        <v>1</v>
      </c>
      <c r="K357" s="2" t="n">
        <f aca="false">VLOOKUP(H357,Lookup!$A$4:$B$6,2,FALSE())</f>
        <v>18</v>
      </c>
    </row>
    <row r="358" customFormat="false" ht="15" hidden="false" customHeight="false" outlineLevel="0" collapsed="false">
      <c r="A358" s="2" t="s">
        <v>467</v>
      </c>
      <c r="B358" s="2" t="s">
        <v>28</v>
      </c>
      <c r="C358" s="3" t="n">
        <v>46282.8639814815</v>
      </c>
      <c r="D358" s="2" t="s">
        <v>29</v>
      </c>
      <c r="E358" s="2" t="n">
        <v>0</v>
      </c>
      <c r="F358" s="2" t="s">
        <v>18</v>
      </c>
      <c r="G358" s="2"/>
      <c r="H358" s="2" t="str">
        <f aca="false">VLOOKUP(B358,$N$2:$S$41,3,FALSE())</f>
        <v>Model-X</v>
      </c>
      <c r="I358" s="2" t="str">
        <f aca="false">VLOOKUP(B358,$N$2:$S$41,2,FALSE())</f>
        <v>Новосибирск, Дуси Ковальчук</v>
      </c>
      <c r="J358" s="2" t="n">
        <f aca="false">IF(F358="success",1,0)</f>
        <v>1</v>
      </c>
      <c r="K358" s="2" t="n">
        <f aca="false">VLOOKUP(H358,Lookup!$A$4:$B$6,2,FALSE())</f>
        <v>18</v>
      </c>
    </row>
    <row r="359" customFormat="false" ht="15" hidden="false" customHeight="false" outlineLevel="0" collapsed="false">
      <c r="A359" s="2" t="s">
        <v>468</v>
      </c>
      <c r="B359" s="2" t="s">
        <v>96</v>
      </c>
      <c r="C359" s="3" t="n">
        <v>46282.8771990741</v>
      </c>
      <c r="D359" s="2" t="s">
        <v>17</v>
      </c>
      <c r="E359" s="2" t="n">
        <v>500</v>
      </c>
      <c r="F359" s="2" t="s">
        <v>18</v>
      </c>
      <c r="G359" s="2"/>
      <c r="H359" s="2" t="str">
        <f aca="false">VLOOKUP(B359,$N$2:$S$41,3,FALSE())</f>
        <v>Model-X</v>
      </c>
      <c r="I359" s="2" t="str">
        <f aca="false">VLOOKUP(B359,$N$2:$S$41,2,FALSE())</f>
        <v>Нижний Новгород, Белинского</v>
      </c>
      <c r="J359" s="2" t="n">
        <f aca="false">IF(F359="success",1,0)</f>
        <v>1</v>
      </c>
      <c r="K359" s="2" t="n">
        <f aca="false">VLOOKUP(H359,Lookup!$A$4:$B$6,2,FALSE())</f>
        <v>18</v>
      </c>
    </row>
    <row r="360" customFormat="false" ht="15" hidden="false" customHeight="false" outlineLevel="0" collapsed="false">
      <c r="A360" s="2" t="s">
        <v>469</v>
      </c>
      <c r="B360" s="2" t="s">
        <v>50</v>
      </c>
      <c r="C360" s="3" t="n">
        <v>46282.8778819444</v>
      </c>
      <c r="D360" s="2" t="s">
        <v>46</v>
      </c>
      <c r="E360" s="2" t="n">
        <v>2000</v>
      </c>
      <c r="F360" s="2" t="s">
        <v>18</v>
      </c>
      <c r="G360" s="2"/>
      <c r="H360" s="2" t="str">
        <f aca="false">VLOOKUP(B360,$N$2:$S$41,3,FALSE())</f>
        <v>Model-Y</v>
      </c>
      <c r="I360" s="2" t="str">
        <f aca="false">VLOOKUP(B360,$N$2:$S$41,2,FALSE())</f>
        <v>Санкт-Петербург, Московский пр-т</v>
      </c>
      <c r="J360" s="2" t="n">
        <f aca="false">IF(F360="success",1,0)</f>
        <v>1</v>
      </c>
      <c r="K360" s="2" t="n">
        <f aca="false">VLOOKUP(H360,Lookup!$A$4:$B$6,2,FALSE())</f>
        <v>14</v>
      </c>
    </row>
    <row r="361" customFormat="false" ht="15" hidden="false" customHeight="false" outlineLevel="0" collapsed="false">
      <c r="A361" s="2" t="s">
        <v>470</v>
      </c>
      <c r="B361" s="2" t="s">
        <v>53</v>
      </c>
      <c r="C361" s="3" t="n">
        <v>46282.8814814815</v>
      </c>
      <c r="D361" s="2" t="s">
        <v>29</v>
      </c>
      <c r="E361" s="2" t="n">
        <v>0</v>
      </c>
      <c r="F361" s="2" t="s">
        <v>18</v>
      </c>
      <c r="G361" s="2"/>
      <c r="H361" s="2" t="str">
        <f aca="false">VLOOKUP(B361,$N$2:$S$41,3,FALSE())</f>
        <v>Model-Z</v>
      </c>
      <c r="I361" s="2" t="str">
        <f aca="false">VLOOKUP(B361,$N$2:$S$41,2,FALSE())</f>
        <v>Ростов-на-Дону, Будённовский</v>
      </c>
      <c r="J361" s="2" t="n">
        <f aca="false">IF(F361="success",1,0)</f>
        <v>1</v>
      </c>
      <c r="K361" s="2" t="n">
        <f aca="false">VLOOKUP(H361,Lookup!$A$4:$B$6,2,FALSE())</f>
        <v>16</v>
      </c>
    </row>
    <row r="362" customFormat="false" ht="15" hidden="false" customHeight="false" outlineLevel="0" collapsed="false">
      <c r="A362" s="2" t="s">
        <v>471</v>
      </c>
      <c r="B362" s="2" t="s">
        <v>93</v>
      </c>
      <c r="C362" s="3" t="n">
        <v>46282.9074537037</v>
      </c>
      <c r="D362" s="2" t="s">
        <v>29</v>
      </c>
      <c r="E362" s="2" t="n">
        <v>0</v>
      </c>
      <c r="F362" s="2" t="s">
        <v>18</v>
      </c>
      <c r="G362" s="2"/>
      <c r="H362" s="2" t="str">
        <f aca="false">VLOOKUP(B362,$N$2:$S$41,3,FALSE())</f>
        <v>Model-Y</v>
      </c>
      <c r="I362" s="2" t="str">
        <f aca="false">VLOOKUP(B362,$N$2:$S$41,2,FALSE())</f>
        <v>Новосибирск, Ленина</v>
      </c>
      <c r="J362" s="2" t="n">
        <f aca="false">IF(F362="success",1,0)</f>
        <v>1</v>
      </c>
      <c r="K362" s="2" t="n">
        <f aca="false">VLOOKUP(H362,Lookup!$A$4:$B$6,2,FALSE())</f>
        <v>14</v>
      </c>
    </row>
    <row r="363" customFormat="false" ht="15" hidden="false" customHeight="false" outlineLevel="0" collapsed="false">
      <c r="A363" s="2" t="s">
        <v>472</v>
      </c>
      <c r="B363" s="2" t="s">
        <v>45</v>
      </c>
      <c r="C363" s="3" t="n">
        <v>46282.9559953704</v>
      </c>
      <c r="D363" s="2" t="s">
        <v>17</v>
      </c>
      <c r="E363" s="2" t="n">
        <v>15000</v>
      </c>
      <c r="F363" s="2" t="s">
        <v>18</v>
      </c>
      <c r="G363" s="2"/>
      <c r="H363" s="2" t="str">
        <f aca="false">VLOOKUP(B363,$N$2:$S$41,3,FALSE())</f>
        <v>Model-Y</v>
      </c>
      <c r="I363" s="2" t="str">
        <f aca="false">VLOOKUP(B363,$N$2:$S$41,2,FALSE())</f>
        <v>Воронеж, Плехановская</v>
      </c>
      <c r="J363" s="2" t="n">
        <f aca="false">IF(F363="success",1,0)</f>
        <v>1</v>
      </c>
      <c r="K363" s="2" t="n">
        <f aca="false">VLOOKUP(H363,Lookup!$A$4:$B$6,2,FALSE())</f>
        <v>14</v>
      </c>
    </row>
    <row r="364" customFormat="false" ht="15" hidden="false" customHeight="false" outlineLevel="0" collapsed="false">
      <c r="A364" s="2" t="s">
        <v>473</v>
      </c>
      <c r="B364" s="2" t="s">
        <v>59</v>
      </c>
      <c r="C364" s="3" t="n">
        <v>46283.3520949074</v>
      </c>
      <c r="D364" s="2" t="s">
        <v>29</v>
      </c>
      <c r="E364" s="2" t="n">
        <v>0</v>
      </c>
      <c r="F364" s="2" t="s">
        <v>18</v>
      </c>
      <c r="G364" s="2"/>
      <c r="H364" s="2" t="str">
        <f aca="false">VLOOKUP(B364,$N$2:$S$41,3,FALSE())</f>
        <v>Model-X</v>
      </c>
      <c r="I364" s="2" t="str">
        <f aca="false">VLOOKUP(B364,$N$2:$S$41,2,FALSE())</f>
        <v>Санкт-Петербург, Большой пр-т</v>
      </c>
      <c r="J364" s="2" t="n">
        <f aca="false">IF(F364="success",1,0)</f>
        <v>1</v>
      </c>
      <c r="K364" s="2" t="n">
        <f aca="false">VLOOKUP(H364,Lookup!$A$4:$B$6,2,FALSE())</f>
        <v>18</v>
      </c>
    </row>
    <row r="365" customFormat="false" ht="15" hidden="false" customHeight="false" outlineLevel="0" collapsed="false">
      <c r="A365" s="2" t="s">
        <v>474</v>
      </c>
      <c r="B365" s="2" t="s">
        <v>88</v>
      </c>
      <c r="C365" s="3" t="n">
        <v>46283.3589699074</v>
      </c>
      <c r="D365" s="2" t="s">
        <v>46</v>
      </c>
      <c r="E365" s="2" t="n">
        <v>1500</v>
      </c>
      <c r="F365" s="2" t="s">
        <v>18</v>
      </c>
      <c r="G365" s="2"/>
      <c r="H365" s="2" t="str">
        <f aca="false">VLOOKUP(B365,$N$2:$S$41,3,FALSE())</f>
        <v>Model-Z</v>
      </c>
      <c r="I365" s="2" t="str">
        <f aca="false">VLOOKUP(B365,$N$2:$S$41,2,FALSE())</f>
        <v>Екатеринбург, Вайнера</v>
      </c>
      <c r="J365" s="2" t="n">
        <f aca="false">IF(F365="success",1,0)</f>
        <v>1</v>
      </c>
      <c r="K365" s="2" t="n">
        <f aca="false">VLOOKUP(H365,Lookup!$A$4:$B$6,2,FALSE())</f>
        <v>16</v>
      </c>
    </row>
    <row r="366" customFormat="false" ht="15" hidden="false" customHeight="false" outlineLevel="0" collapsed="false">
      <c r="A366" s="2" t="s">
        <v>475</v>
      </c>
      <c r="B366" s="2" t="s">
        <v>69</v>
      </c>
      <c r="C366" s="3" t="n">
        <v>46283.3598263889</v>
      </c>
      <c r="D366" s="2" t="s">
        <v>29</v>
      </c>
      <c r="E366" s="2" t="n">
        <v>0</v>
      </c>
      <c r="F366" s="2" t="s">
        <v>18</v>
      </c>
      <c r="G366" s="2"/>
      <c r="H366" s="2" t="str">
        <f aca="false">VLOOKUP(B366,$N$2:$S$41,3,FALSE())</f>
        <v>Model-X</v>
      </c>
      <c r="I366" s="2" t="str">
        <f aca="false">VLOOKUP(B366,$N$2:$S$41,2,FALSE())</f>
        <v>Казань, Пушкина</v>
      </c>
      <c r="J366" s="2" t="n">
        <f aca="false">IF(F366="success",1,0)</f>
        <v>1</v>
      </c>
      <c r="K366" s="2" t="n">
        <f aca="false">VLOOKUP(H366,Lookup!$A$4:$B$6,2,FALSE())</f>
        <v>18</v>
      </c>
    </row>
    <row r="367" customFormat="false" ht="15" hidden="false" customHeight="false" outlineLevel="0" collapsed="false">
      <c r="A367" s="2" t="s">
        <v>476</v>
      </c>
      <c r="B367" s="2" t="s">
        <v>81</v>
      </c>
      <c r="C367" s="3" t="n">
        <v>46283.3625810185</v>
      </c>
      <c r="D367" s="2" t="s">
        <v>65</v>
      </c>
      <c r="E367" s="2" t="n">
        <v>7000</v>
      </c>
      <c r="F367" s="2" t="s">
        <v>18</v>
      </c>
      <c r="G367" s="2"/>
      <c r="H367" s="2" t="str">
        <f aca="false">VLOOKUP(B367,$N$2:$S$41,3,FALSE())</f>
        <v>Model-X</v>
      </c>
      <c r="I367" s="2" t="str">
        <f aca="false">VLOOKUP(B367,$N$2:$S$41,2,FALSE())</f>
        <v>Екатеринбург, Малышева</v>
      </c>
      <c r="J367" s="2" t="n">
        <f aca="false">IF(F367="success",1,0)</f>
        <v>1</v>
      </c>
      <c r="K367" s="2" t="n">
        <f aca="false">VLOOKUP(H367,Lookup!$A$4:$B$6,2,FALSE())</f>
        <v>18</v>
      </c>
    </row>
    <row r="368" customFormat="false" ht="15" hidden="false" customHeight="false" outlineLevel="0" collapsed="false">
      <c r="A368" s="2" t="s">
        <v>477</v>
      </c>
      <c r="B368" s="2" t="s">
        <v>85</v>
      </c>
      <c r="C368" s="3" t="n">
        <v>46283.3692361111</v>
      </c>
      <c r="D368" s="2" t="s">
        <v>17</v>
      </c>
      <c r="E368" s="2" t="n">
        <v>3000</v>
      </c>
      <c r="F368" s="2" t="s">
        <v>18</v>
      </c>
      <c r="G368" s="2"/>
      <c r="H368" s="2" t="str">
        <f aca="false">VLOOKUP(B368,$N$2:$S$41,3,FALSE())</f>
        <v>Model-Y</v>
      </c>
      <c r="I368" s="2" t="str">
        <f aca="false">VLOOKUP(B368,$N$2:$S$41,2,FALSE())</f>
        <v>Екатеринбург, 8 Марта</v>
      </c>
      <c r="J368" s="2" t="n">
        <f aca="false">IF(F368="success",1,0)</f>
        <v>1</v>
      </c>
      <c r="K368" s="2" t="n">
        <f aca="false">VLOOKUP(H368,Lookup!$A$4:$B$6,2,FALSE())</f>
        <v>14</v>
      </c>
    </row>
    <row r="369" customFormat="false" ht="15" hidden="false" customHeight="false" outlineLevel="0" collapsed="false">
      <c r="A369" s="2" t="s">
        <v>478</v>
      </c>
      <c r="B369" s="2" t="s">
        <v>93</v>
      </c>
      <c r="C369" s="3" t="n">
        <v>46283.3797337963</v>
      </c>
      <c r="D369" s="2" t="s">
        <v>17</v>
      </c>
      <c r="E369" s="2" t="n">
        <v>500</v>
      </c>
      <c r="F369" s="2" t="s">
        <v>18</v>
      </c>
      <c r="G369" s="2"/>
      <c r="H369" s="2" t="str">
        <f aca="false">VLOOKUP(B369,$N$2:$S$41,3,FALSE())</f>
        <v>Model-Y</v>
      </c>
      <c r="I369" s="2" t="str">
        <f aca="false">VLOOKUP(B369,$N$2:$S$41,2,FALSE())</f>
        <v>Новосибирск, Ленина</v>
      </c>
      <c r="J369" s="2" t="n">
        <f aca="false">IF(F369="success",1,0)</f>
        <v>1</v>
      </c>
      <c r="K369" s="2" t="n">
        <f aca="false">VLOOKUP(H369,Lookup!$A$4:$B$6,2,FALSE())</f>
        <v>14</v>
      </c>
    </row>
    <row r="370" customFormat="false" ht="15" hidden="false" customHeight="false" outlineLevel="0" collapsed="false">
      <c r="A370" s="2" t="s">
        <v>479</v>
      </c>
      <c r="B370" s="2" t="s">
        <v>139</v>
      </c>
      <c r="C370" s="3" t="n">
        <v>46283.4221990741</v>
      </c>
      <c r="D370" s="2" t="s">
        <v>17</v>
      </c>
      <c r="E370" s="2" t="n">
        <v>2000</v>
      </c>
      <c r="F370" s="2" t="s">
        <v>18</v>
      </c>
      <c r="G370" s="2"/>
      <c r="H370" s="2" t="str">
        <f aca="false">VLOOKUP(B370,$N$2:$S$41,3,FALSE())</f>
        <v>Model-X</v>
      </c>
      <c r="I370" s="2" t="str">
        <f aca="false">VLOOKUP(B370,$N$2:$S$41,2,FALSE())</f>
        <v>Воронеж, Революции</v>
      </c>
      <c r="J370" s="2" t="n">
        <f aca="false">IF(F370="success",1,0)</f>
        <v>1</v>
      </c>
      <c r="K370" s="2" t="n">
        <f aca="false">VLOOKUP(H370,Lookup!$A$4:$B$6,2,FALSE())</f>
        <v>18</v>
      </c>
    </row>
    <row r="371" customFormat="false" ht="15" hidden="false" customHeight="false" outlineLevel="0" collapsed="false">
      <c r="A371" s="2" t="s">
        <v>480</v>
      </c>
      <c r="B371" s="2" t="s">
        <v>59</v>
      </c>
      <c r="C371" s="3" t="n">
        <v>46283.4273958333</v>
      </c>
      <c r="D371" s="2" t="s">
        <v>17</v>
      </c>
      <c r="E371" s="2" t="n">
        <v>1000</v>
      </c>
      <c r="F371" s="2" t="s">
        <v>100</v>
      </c>
      <c r="G371" s="2"/>
      <c r="H371" s="2" t="str">
        <f aca="false">VLOOKUP(B371,$N$2:$S$41,3,FALSE())</f>
        <v>Model-X</v>
      </c>
      <c r="I371" s="2" t="str">
        <f aca="false">VLOOKUP(B371,$N$2:$S$41,2,FALSE())</f>
        <v>Санкт-Петербург, Большой пр-т</v>
      </c>
      <c r="J371" s="2" t="n">
        <f aca="false">IF(F371="success",1,0)</f>
        <v>0</v>
      </c>
      <c r="K371" s="2" t="n">
        <f aca="false">VLOOKUP(H371,Lookup!$A$4:$B$6,2,FALSE())</f>
        <v>18</v>
      </c>
    </row>
    <row r="372" customFormat="false" ht="15" hidden="false" customHeight="false" outlineLevel="0" collapsed="false">
      <c r="A372" s="2" t="s">
        <v>481</v>
      </c>
      <c r="B372" s="2" t="s">
        <v>73</v>
      </c>
      <c r="C372" s="3" t="n">
        <v>46283.4307291667</v>
      </c>
      <c r="D372" s="2" t="s">
        <v>29</v>
      </c>
      <c r="E372" s="2" t="n">
        <v>0</v>
      </c>
      <c r="F372" s="2" t="s">
        <v>18</v>
      </c>
      <c r="G372" s="2"/>
      <c r="H372" s="2" t="str">
        <f aca="false">VLOOKUP(B372,$N$2:$S$41,3,FALSE())</f>
        <v>Model-Y</v>
      </c>
      <c r="I372" s="2" t="str">
        <f aca="false">VLOOKUP(B372,$N$2:$S$41,2,FALSE())</f>
        <v>Казань, Чистопольская</v>
      </c>
      <c r="J372" s="2" t="n">
        <f aca="false">IF(F372="success",1,0)</f>
        <v>1</v>
      </c>
      <c r="K372" s="2" t="n">
        <f aca="false">VLOOKUP(H372,Lookup!$A$4:$B$6,2,FALSE())</f>
        <v>14</v>
      </c>
    </row>
    <row r="373" customFormat="false" ht="15" hidden="false" customHeight="false" outlineLevel="0" collapsed="false">
      <c r="A373" s="2" t="s">
        <v>482</v>
      </c>
      <c r="B373" s="2" t="s">
        <v>23</v>
      </c>
      <c r="C373" s="3" t="n">
        <v>46283.4355092593</v>
      </c>
      <c r="D373" s="2" t="s">
        <v>17</v>
      </c>
      <c r="E373" s="2" t="n">
        <v>15000</v>
      </c>
      <c r="F373" s="2" t="s">
        <v>18</v>
      </c>
      <c r="G373" s="2"/>
      <c r="H373" s="2" t="str">
        <f aca="false">VLOOKUP(B373,$N$2:$S$41,3,FALSE())</f>
        <v>Model-X</v>
      </c>
      <c r="I373" s="2" t="str">
        <f aca="false">VLOOKUP(B373,$N$2:$S$41,2,FALSE())</f>
        <v>Воронеж, Кольцовская</v>
      </c>
      <c r="J373" s="2" t="n">
        <f aca="false">IF(F373="success",1,0)</f>
        <v>1</v>
      </c>
      <c r="K373" s="2" t="n">
        <f aca="false">VLOOKUP(H373,Lookup!$A$4:$B$6,2,FALSE())</f>
        <v>18</v>
      </c>
    </row>
    <row r="374" customFormat="false" ht="15" hidden="false" customHeight="false" outlineLevel="0" collapsed="false">
      <c r="A374" s="2" t="s">
        <v>483</v>
      </c>
      <c r="B374" s="2" t="s">
        <v>38</v>
      </c>
      <c r="C374" s="3" t="n">
        <v>46283.5373726852</v>
      </c>
      <c r="D374" s="2" t="s">
        <v>65</v>
      </c>
      <c r="E374" s="2" t="n">
        <v>7000</v>
      </c>
      <c r="F374" s="2" t="s">
        <v>18</v>
      </c>
      <c r="G374" s="2"/>
      <c r="H374" s="2" t="str">
        <f aca="false">VLOOKUP(B374,$N$2:$S$41,3,FALSE())</f>
        <v>Model-Z</v>
      </c>
      <c r="I374" s="2" t="str">
        <f aca="false">VLOOKUP(B374,$N$2:$S$41,2,FALSE())</f>
        <v>Казань, Кремлёвская</v>
      </c>
      <c r="J374" s="2" t="n">
        <f aca="false">IF(F374="success",1,0)</f>
        <v>1</v>
      </c>
      <c r="K374" s="2" t="n">
        <f aca="false">VLOOKUP(H374,Lookup!$A$4:$B$6,2,FALSE())</f>
        <v>16</v>
      </c>
    </row>
    <row r="375" customFormat="false" ht="15" hidden="false" customHeight="false" outlineLevel="0" collapsed="false">
      <c r="A375" s="2" t="s">
        <v>484</v>
      </c>
      <c r="B375" s="2" t="s">
        <v>50</v>
      </c>
      <c r="C375" s="3" t="n">
        <v>46283.6334143519</v>
      </c>
      <c r="D375" s="2" t="s">
        <v>46</v>
      </c>
      <c r="E375" s="2" t="n">
        <v>7000</v>
      </c>
      <c r="F375" s="2" t="s">
        <v>18</v>
      </c>
      <c r="G375" s="2"/>
      <c r="H375" s="2" t="str">
        <f aca="false">VLOOKUP(B375,$N$2:$S$41,3,FALSE())</f>
        <v>Model-Y</v>
      </c>
      <c r="I375" s="2" t="str">
        <f aca="false">VLOOKUP(B375,$N$2:$S$41,2,FALSE())</f>
        <v>Санкт-Петербург, Московский пр-т</v>
      </c>
      <c r="J375" s="2" t="n">
        <f aca="false">IF(F375="success",1,0)</f>
        <v>1</v>
      </c>
      <c r="K375" s="2" t="n">
        <f aca="false">VLOOKUP(H375,Lookup!$A$4:$B$6,2,FALSE())</f>
        <v>14</v>
      </c>
    </row>
    <row r="376" customFormat="false" ht="15" hidden="false" customHeight="false" outlineLevel="0" collapsed="false">
      <c r="A376" s="2" t="s">
        <v>485</v>
      </c>
      <c r="B376" s="2" t="s">
        <v>73</v>
      </c>
      <c r="C376" s="3" t="n">
        <v>46283.6886342593</v>
      </c>
      <c r="D376" s="2" t="s">
        <v>17</v>
      </c>
      <c r="E376" s="2" t="n">
        <v>10000</v>
      </c>
      <c r="F376" s="2" t="s">
        <v>18</v>
      </c>
      <c r="G376" s="2"/>
      <c r="H376" s="2" t="str">
        <f aca="false">VLOOKUP(B376,$N$2:$S$41,3,FALSE())</f>
        <v>Model-Y</v>
      </c>
      <c r="I376" s="2" t="str">
        <f aca="false">VLOOKUP(B376,$N$2:$S$41,2,FALSE())</f>
        <v>Казань, Чистопольская</v>
      </c>
      <c r="J376" s="2" t="n">
        <f aca="false">IF(F376="success",1,0)</f>
        <v>1</v>
      </c>
      <c r="K376" s="2" t="n">
        <f aca="false">VLOOKUP(H376,Lookup!$A$4:$B$6,2,FALSE())</f>
        <v>14</v>
      </c>
    </row>
    <row r="377" customFormat="false" ht="15" hidden="false" customHeight="false" outlineLevel="0" collapsed="false">
      <c r="A377" s="2" t="s">
        <v>486</v>
      </c>
      <c r="B377" s="2" t="s">
        <v>50</v>
      </c>
      <c r="C377" s="3" t="n">
        <v>46283.7742708333</v>
      </c>
      <c r="D377" s="2" t="s">
        <v>17</v>
      </c>
      <c r="E377" s="2" t="n">
        <v>7000</v>
      </c>
      <c r="F377" s="2" t="s">
        <v>18</v>
      </c>
      <c r="G377" s="2"/>
      <c r="H377" s="2" t="str">
        <f aca="false">VLOOKUP(B377,$N$2:$S$41,3,FALSE())</f>
        <v>Model-Y</v>
      </c>
      <c r="I377" s="2" t="str">
        <f aca="false">VLOOKUP(B377,$N$2:$S$41,2,FALSE())</f>
        <v>Санкт-Петербург, Московский пр-т</v>
      </c>
      <c r="J377" s="2" t="n">
        <f aca="false">IF(F377="success",1,0)</f>
        <v>1</v>
      </c>
      <c r="K377" s="2" t="n">
        <f aca="false">VLOOKUP(H377,Lookup!$A$4:$B$6,2,FALSE())</f>
        <v>14</v>
      </c>
    </row>
    <row r="378" customFormat="false" ht="15" hidden="false" customHeight="false" outlineLevel="0" collapsed="false">
      <c r="A378" s="2" t="s">
        <v>487</v>
      </c>
      <c r="B378" s="2" t="s">
        <v>84</v>
      </c>
      <c r="C378" s="3" t="n">
        <v>46283.8105439815</v>
      </c>
      <c r="D378" s="2" t="s">
        <v>17</v>
      </c>
      <c r="E378" s="2" t="n">
        <v>3000</v>
      </c>
      <c r="F378" s="2" t="s">
        <v>18</v>
      </c>
      <c r="G378" s="2"/>
      <c r="H378" s="2" t="str">
        <f aca="false">VLOOKUP(B378,$N$2:$S$41,3,FALSE())</f>
        <v>Model-X</v>
      </c>
      <c r="I378" s="2" t="str">
        <f aca="false">VLOOKUP(B378,$N$2:$S$41,2,FALSE())</f>
        <v>Новосибирск, Красный пр-т</v>
      </c>
      <c r="J378" s="2" t="n">
        <f aca="false">IF(F378="success",1,0)</f>
        <v>1</v>
      </c>
      <c r="K378" s="2" t="n">
        <f aca="false">VLOOKUP(H378,Lookup!$A$4:$B$6,2,FALSE())</f>
        <v>18</v>
      </c>
    </row>
    <row r="379" customFormat="false" ht="15" hidden="false" customHeight="false" outlineLevel="0" collapsed="false">
      <c r="A379" s="2" t="s">
        <v>488</v>
      </c>
      <c r="B379" s="2" t="s">
        <v>85</v>
      </c>
      <c r="C379" s="3" t="n">
        <v>46283.8279398148</v>
      </c>
      <c r="D379" s="2" t="s">
        <v>17</v>
      </c>
      <c r="E379" s="2" t="n">
        <v>7000</v>
      </c>
      <c r="F379" s="2" t="s">
        <v>18</v>
      </c>
      <c r="G379" s="2"/>
      <c r="H379" s="2" t="str">
        <f aca="false">VLOOKUP(B379,$N$2:$S$41,3,FALSE())</f>
        <v>Model-Y</v>
      </c>
      <c r="I379" s="2" t="str">
        <f aca="false">VLOOKUP(B379,$N$2:$S$41,2,FALSE())</f>
        <v>Екатеринбург, 8 Марта</v>
      </c>
      <c r="J379" s="2" t="n">
        <f aca="false">IF(F379="success",1,0)</f>
        <v>1</v>
      </c>
      <c r="K379" s="2" t="n">
        <f aca="false">VLOOKUP(H379,Lookup!$A$4:$B$6,2,FALSE())</f>
        <v>14</v>
      </c>
    </row>
    <row r="380" customFormat="false" ht="15" hidden="false" customHeight="false" outlineLevel="0" collapsed="false">
      <c r="A380" s="2" t="s">
        <v>489</v>
      </c>
      <c r="B380" s="2" t="s">
        <v>35</v>
      </c>
      <c r="C380" s="3" t="n">
        <v>46283.8298263889</v>
      </c>
      <c r="D380" s="2" t="s">
        <v>17</v>
      </c>
      <c r="E380" s="2" t="n">
        <v>10000</v>
      </c>
      <c r="F380" s="2" t="s">
        <v>18</v>
      </c>
      <c r="G380" s="2"/>
      <c r="H380" s="2" t="str">
        <f aca="false">VLOOKUP(B380,$N$2:$S$41,3,FALSE())</f>
        <v>Model-X</v>
      </c>
      <c r="I380" s="2" t="str">
        <f aca="false">VLOOKUP(B380,$N$2:$S$41,2,FALSE())</f>
        <v>Москва, Ленинградский пр-т</v>
      </c>
      <c r="J380" s="2" t="n">
        <f aca="false">IF(F380="success",1,0)</f>
        <v>1</v>
      </c>
      <c r="K380" s="2" t="n">
        <f aca="false">VLOOKUP(H380,Lookup!$A$4:$B$6,2,FALSE())</f>
        <v>18</v>
      </c>
    </row>
    <row r="381" customFormat="false" ht="15" hidden="false" customHeight="false" outlineLevel="0" collapsed="false">
      <c r="A381" s="2" t="s">
        <v>490</v>
      </c>
      <c r="B381" s="2" t="s">
        <v>42</v>
      </c>
      <c r="C381" s="3" t="n">
        <v>46283.8402777778</v>
      </c>
      <c r="D381" s="2" t="s">
        <v>17</v>
      </c>
      <c r="E381" s="2" t="n">
        <v>10000</v>
      </c>
      <c r="F381" s="2" t="s">
        <v>18</v>
      </c>
      <c r="G381" s="2"/>
      <c r="H381" s="2" t="str">
        <f aca="false">VLOOKUP(B381,$N$2:$S$41,3,FALSE())</f>
        <v>Model-X</v>
      </c>
      <c r="I381" s="2" t="str">
        <f aca="false">VLOOKUP(B381,$N$2:$S$41,2,FALSE())</f>
        <v>Краснодар, Гимназическая</v>
      </c>
      <c r="J381" s="2" t="n">
        <f aca="false">IF(F381="success",1,0)</f>
        <v>1</v>
      </c>
      <c r="K381" s="2" t="n">
        <f aca="false">VLOOKUP(H381,Lookup!$A$4:$B$6,2,FALSE())</f>
        <v>18</v>
      </c>
    </row>
    <row r="382" customFormat="false" ht="15" hidden="false" customHeight="false" outlineLevel="0" collapsed="false">
      <c r="A382" s="2" t="s">
        <v>491</v>
      </c>
      <c r="B382" s="2" t="s">
        <v>85</v>
      </c>
      <c r="C382" s="3" t="n">
        <v>46283.8454976852</v>
      </c>
      <c r="D382" s="2" t="s">
        <v>17</v>
      </c>
      <c r="E382" s="2" t="n">
        <v>5000</v>
      </c>
      <c r="F382" s="2" t="s">
        <v>18</v>
      </c>
      <c r="G382" s="2"/>
      <c r="H382" s="2" t="str">
        <f aca="false">VLOOKUP(B382,$N$2:$S$41,3,FALSE())</f>
        <v>Model-Y</v>
      </c>
      <c r="I382" s="2" t="str">
        <f aca="false">VLOOKUP(B382,$N$2:$S$41,2,FALSE())</f>
        <v>Екатеринбург, 8 Марта</v>
      </c>
      <c r="J382" s="2" t="n">
        <f aca="false">IF(F382="success",1,0)</f>
        <v>1</v>
      </c>
      <c r="K382" s="2" t="n">
        <f aca="false">VLOOKUP(H382,Lookup!$A$4:$B$6,2,FALSE())</f>
        <v>14</v>
      </c>
    </row>
    <row r="383" customFormat="false" ht="15" hidden="false" customHeight="false" outlineLevel="0" collapsed="false">
      <c r="A383" s="2" t="s">
        <v>492</v>
      </c>
      <c r="B383" s="2" t="s">
        <v>58</v>
      </c>
      <c r="C383" s="3" t="n">
        <v>46283.8637384259</v>
      </c>
      <c r="D383" s="2" t="s">
        <v>29</v>
      </c>
      <c r="E383" s="2" t="n">
        <v>0</v>
      </c>
      <c r="F383" s="2" t="s">
        <v>18</v>
      </c>
      <c r="G383" s="2"/>
      <c r="H383" s="2" t="str">
        <f aca="false">VLOOKUP(B383,$N$2:$S$41,3,FALSE())</f>
        <v>Model-Y</v>
      </c>
      <c r="I383" s="2" t="str">
        <f aca="false">VLOOKUP(B383,$N$2:$S$41,2,FALSE())</f>
        <v>Краснодар, Красная</v>
      </c>
      <c r="J383" s="2" t="n">
        <f aca="false">IF(F383="success",1,0)</f>
        <v>1</v>
      </c>
      <c r="K383" s="2" t="n">
        <f aca="false">VLOOKUP(H383,Lookup!$A$4:$B$6,2,FALSE())</f>
        <v>14</v>
      </c>
    </row>
    <row r="384" customFormat="false" ht="15" hidden="false" customHeight="false" outlineLevel="0" collapsed="false">
      <c r="A384" s="2" t="s">
        <v>493</v>
      </c>
      <c r="B384" s="2" t="s">
        <v>50</v>
      </c>
      <c r="C384" s="3" t="n">
        <v>46283.8860416667</v>
      </c>
      <c r="D384" s="2" t="s">
        <v>17</v>
      </c>
      <c r="E384" s="2" t="n">
        <v>7000</v>
      </c>
      <c r="F384" s="2" t="s">
        <v>18</v>
      </c>
      <c r="G384" s="2"/>
      <c r="H384" s="2" t="str">
        <f aca="false">VLOOKUP(B384,$N$2:$S$41,3,FALSE())</f>
        <v>Model-Y</v>
      </c>
      <c r="I384" s="2" t="str">
        <f aca="false">VLOOKUP(B384,$N$2:$S$41,2,FALSE())</f>
        <v>Санкт-Петербург, Московский пр-т</v>
      </c>
      <c r="J384" s="2" t="n">
        <f aca="false">IF(F384="success",1,0)</f>
        <v>1</v>
      </c>
      <c r="K384" s="2" t="n">
        <f aca="false">VLOOKUP(H384,Lookup!$A$4:$B$6,2,FALSE())</f>
        <v>14</v>
      </c>
    </row>
    <row r="385" customFormat="false" ht="15" hidden="false" customHeight="false" outlineLevel="0" collapsed="false">
      <c r="A385" s="2" t="s">
        <v>494</v>
      </c>
      <c r="B385" s="2" t="s">
        <v>45</v>
      </c>
      <c r="C385" s="3" t="n">
        <v>46283.913912037</v>
      </c>
      <c r="D385" s="2" t="s">
        <v>46</v>
      </c>
      <c r="E385" s="2" t="n">
        <v>10000</v>
      </c>
      <c r="F385" s="2" t="s">
        <v>18</v>
      </c>
      <c r="G385" s="2"/>
      <c r="H385" s="2" t="str">
        <f aca="false">VLOOKUP(B385,$N$2:$S$41,3,FALSE())</f>
        <v>Model-Y</v>
      </c>
      <c r="I385" s="2" t="str">
        <f aca="false">VLOOKUP(B385,$N$2:$S$41,2,FALSE())</f>
        <v>Воронеж, Плехановская</v>
      </c>
      <c r="J385" s="2" t="n">
        <f aca="false">IF(F385="success",1,0)</f>
        <v>1</v>
      </c>
      <c r="K385" s="2" t="n">
        <f aca="false">VLOOKUP(H385,Lookup!$A$4:$B$6,2,FALSE())</f>
        <v>14</v>
      </c>
    </row>
    <row r="386" customFormat="false" ht="15" hidden="false" customHeight="false" outlineLevel="0" collapsed="false">
      <c r="A386" s="2" t="s">
        <v>495</v>
      </c>
      <c r="B386" s="2" t="s">
        <v>34</v>
      </c>
      <c r="C386" s="3" t="n">
        <v>46283.9447685185</v>
      </c>
      <c r="D386" s="2" t="s">
        <v>17</v>
      </c>
      <c r="E386" s="2" t="n">
        <v>7000</v>
      </c>
      <c r="F386" s="2" t="s">
        <v>18</v>
      </c>
      <c r="G386" s="2"/>
      <c r="H386" s="2" t="str">
        <f aca="false">VLOOKUP(B386,$N$2:$S$41,3,FALSE())</f>
        <v>Model-X</v>
      </c>
      <c r="I386" s="2" t="str">
        <f aca="false">VLOOKUP(B386,$N$2:$S$41,2,FALSE())</f>
        <v>Москва, Профсоюзная</v>
      </c>
      <c r="J386" s="2" t="n">
        <f aca="false">IF(F386="success",1,0)</f>
        <v>1</v>
      </c>
      <c r="K386" s="2" t="n">
        <f aca="false">VLOOKUP(H386,Lookup!$A$4:$B$6,2,FALSE())</f>
        <v>18</v>
      </c>
    </row>
    <row r="387" customFormat="false" ht="15" hidden="false" customHeight="false" outlineLevel="0" collapsed="false">
      <c r="A387" s="2" t="s">
        <v>496</v>
      </c>
      <c r="B387" s="2" t="s">
        <v>47</v>
      </c>
      <c r="C387" s="3" t="n">
        <v>46283.9548611111</v>
      </c>
      <c r="D387" s="2" t="s">
        <v>17</v>
      </c>
      <c r="E387" s="2" t="n">
        <v>500</v>
      </c>
      <c r="F387" s="2" t="s">
        <v>18</v>
      </c>
      <c r="G387" s="2"/>
      <c r="H387" s="2" t="str">
        <f aca="false">VLOOKUP(B387,$N$2:$S$41,3,FALSE())</f>
        <v>Model-X</v>
      </c>
      <c r="I387" s="2" t="str">
        <f aca="false">VLOOKUP(B387,$N$2:$S$41,2,FALSE())</f>
        <v>Санкт-Петербург, Невский пр-т</v>
      </c>
      <c r="J387" s="2" t="n">
        <f aca="false">IF(F387="success",1,0)</f>
        <v>1</v>
      </c>
      <c r="K387" s="2" t="n">
        <f aca="false">VLOOKUP(H387,Lookup!$A$4:$B$6,2,FALSE())</f>
        <v>18</v>
      </c>
    </row>
    <row r="388" customFormat="false" ht="15" hidden="false" customHeight="false" outlineLevel="0" collapsed="false">
      <c r="A388" s="2" t="s">
        <v>497</v>
      </c>
      <c r="B388" s="2" t="s">
        <v>45</v>
      </c>
      <c r="C388" s="3" t="n">
        <v>46284.2689467593</v>
      </c>
      <c r="D388" s="2" t="s">
        <v>46</v>
      </c>
      <c r="E388" s="2" t="n">
        <v>1000</v>
      </c>
      <c r="F388" s="2" t="s">
        <v>18</v>
      </c>
      <c r="G388" s="2"/>
      <c r="H388" s="2" t="str">
        <f aca="false">VLOOKUP(B388,$N$2:$S$41,3,FALSE())</f>
        <v>Model-Y</v>
      </c>
      <c r="I388" s="2" t="str">
        <f aca="false">VLOOKUP(B388,$N$2:$S$41,2,FALSE())</f>
        <v>Воронеж, Плехановская</v>
      </c>
      <c r="J388" s="2" t="n">
        <f aca="false">IF(F388="success",1,0)</f>
        <v>1</v>
      </c>
      <c r="K388" s="2" t="n">
        <f aca="false">VLOOKUP(H388,Lookup!$A$4:$B$6,2,FALSE())</f>
        <v>14</v>
      </c>
    </row>
    <row r="389" customFormat="false" ht="15" hidden="false" customHeight="false" outlineLevel="0" collapsed="false">
      <c r="A389" s="2" t="s">
        <v>498</v>
      </c>
      <c r="B389" s="2" t="s">
        <v>42</v>
      </c>
      <c r="C389" s="3" t="n">
        <v>46284.3206712963</v>
      </c>
      <c r="D389" s="2" t="s">
        <v>17</v>
      </c>
      <c r="E389" s="2" t="n">
        <v>5000</v>
      </c>
      <c r="F389" s="2" t="s">
        <v>18</v>
      </c>
      <c r="G389" s="2"/>
      <c r="H389" s="2" t="str">
        <f aca="false">VLOOKUP(B389,$N$2:$S$41,3,FALSE())</f>
        <v>Model-X</v>
      </c>
      <c r="I389" s="2" t="str">
        <f aca="false">VLOOKUP(B389,$N$2:$S$41,2,FALSE())</f>
        <v>Краснодар, Гимназическая</v>
      </c>
      <c r="J389" s="2" t="n">
        <f aca="false">IF(F389="success",1,0)</f>
        <v>1</v>
      </c>
      <c r="K389" s="2" t="n">
        <f aca="false">VLOOKUP(H389,Lookup!$A$4:$B$6,2,FALSE())</f>
        <v>18</v>
      </c>
    </row>
    <row r="390" customFormat="false" ht="15" hidden="false" customHeight="false" outlineLevel="0" collapsed="false">
      <c r="A390" s="2" t="s">
        <v>499</v>
      </c>
      <c r="B390" s="2" t="s">
        <v>85</v>
      </c>
      <c r="C390" s="3" t="n">
        <v>46284.3392592593</v>
      </c>
      <c r="D390" s="2" t="s">
        <v>17</v>
      </c>
      <c r="E390" s="2" t="n">
        <v>1000</v>
      </c>
      <c r="F390" s="2" t="s">
        <v>18</v>
      </c>
      <c r="G390" s="2"/>
      <c r="H390" s="2" t="str">
        <f aca="false">VLOOKUP(B390,$N$2:$S$41,3,FALSE())</f>
        <v>Model-Y</v>
      </c>
      <c r="I390" s="2" t="str">
        <f aca="false">VLOOKUP(B390,$N$2:$S$41,2,FALSE())</f>
        <v>Екатеринбург, 8 Марта</v>
      </c>
      <c r="J390" s="2" t="n">
        <f aca="false">IF(F390="success",1,0)</f>
        <v>1</v>
      </c>
      <c r="K390" s="2" t="n">
        <f aca="false">VLOOKUP(H390,Lookup!$A$4:$B$6,2,FALSE())</f>
        <v>14</v>
      </c>
    </row>
    <row r="391" customFormat="false" ht="15" hidden="false" customHeight="false" outlineLevel="0" collapsed="false">
      <c r="A391" s="2" t="s">
        <v>500</v>
      </c>
      <c r="B391" s="2" t="s">
        <v>45</v>
      </c>
      <c r="C391" s="3" t="n">
        <v>46284.3981018519</v>
      </c>
      <c r="D391" s="2" t="s">
        <v>29</v>
      </c>
      <c r="E391" s="2" t="n">
        <v>0</v>
      </c>
      <c r="F391" s="2" t="s">
        <v>18</v>
      </c>
      <c r="G391" s="2"/>
      <c r="H391" s="2" t="str">
        <f aca="false">VLOOKUP(B391,$N$2:$S$41,3,FALSE())</f>
        <v>Model-Y</v>
      </c>
      <c r="I391" s="2" t="str">
        <f aca="false">VLOOKUP(B391,$N$2:$S$41,2,FALSE())</f>
        <v>Воронеж, Плехановская</v>
      </c>
      <c r="J391" s="2" t="n">
        <f aca="false">IF(F391="success",1,0)</f>
        <v>1</v>
      </c>
      <c r="K391" s="2" t="n">
        <f aca="false">VLOOKUP(H391,Lookup!$A$4:$B$6,2,FALSE())</f>
        <v>14</v>
      </c>
    </row>
    <row r="392" customFormat="false" ht="15" hidden="false" customHeight="false" outlineLevel="0" collapsed="false">
      <c r="A392" s="2" t="s">
        <v>501</v>
      </c>
      <c r="B392" s="2" t="s">
        <v>47</v>
      </c>
      <c r="C392" s="3" t="n">
        <v>46284.4362268519</v>
      </c>
      <c r="D392" s="2" t="s">
        <v>29</v>
      </c>
      <c r="E392" s="2" t="n">
        <v>0</v>
      </c>
      <c r="F392" s="2" t="s">
        <v>18</v>
      </c>
      <c r="G392" s="2"/>
      <c r="H392" s="2" t="str">
        <f aca="false">VLOOKUP(B392,$N$2:$S$41,3,FALSE())</f>
        <v>Model-X</v>
      </c>
      <c r="I392" s="2" t="str">
        <f aca="false">VLOOKUP(B392,$N$2:$S$41,2,FALSE())</f>
        <v>Санкт-Петербург, Невский пр-т</v>
      </c>
      <c r="J392" s="2" t="n">
        <f aca="false">IF(F392="success",1,0)</f>
        <v>1</v>
      </c>
      <c r="K392" s="2" t="n">
        <f aca="false">VLOOKUP(H392,Lookup!$A$4:$B$6,2,FALSE())</f>
        <v>18</v>
      </c>
    </row>
    <row r="393" customFormat="false" ht="15" hidden="false" customHeight="false" outlineLevel="0" collapsed="false">
      <c r="A393" s="2" t="s">
        <v>502</v>
      </c>
      <c r="B393" s="2" t="s">
        <v>93</v>
      </c>
      <c r="C393" s="3" t="n">
        <v>46284.4736226852</v>
      </c>
      <c r="D393" s="2" t="s">
        <v>46</v>
      </c>
      <c r="E393" s="2" t="n">
        <v>1500</v>
      </c>
      <c r="F393" s="2" t="s">
        <v>18</v>
      </c>
      <c r="G393" s="2"/>
      <c r="H393" s="2" t="str">
        <f aca="false">VLOOKUP(B393,$N$2:$S$41,3,FALSE())</f>
        <v>Model-Y</v>
      </c>
      <c r="I393" s="2" t="str">
        <f aca="false">VLOOKUP(B393,$N$2:$S$41,2,FALSE())</f>
        <v>Новосибирск, Ленина</v>
      </c>
      <c r="J393" s="2" t="n">
        <f aca="false">IF(F393="success",1,0)</f>
        <v>1</v>
      </c>
      <c r="K393" s="2" t="n">
        <f aca="false">VLOOKUP(H393,Lookup!$A$4:$B$6,2,FALSE())</f>
        <v>14</v>
      </c>
    </row>
    <row r="394" customFormat="false" ht="15" hidden="false" customHeight="false" outlineLevel="0" collapsed="false">
      <c r="A394" s="2" t="s">
        <v>503</v>
      </c>
      <c r="B394" s="2" t="s">
        <v>96</v>
      </c>
      <c r="C394" s="3" t="n">
        <v>46284.5154282407</v>
      </c>
      <c r="D394" s="2" t="s">
        <v>65</v>
      </c>
      <c r="E394" s="2" t="n">
        <v>3000</v>
      </c>
      <c r="F394" s="2" t="s">
        <v>18</v>
      </c>
      <c r="G394" s="2"/>
      <c r="H394" s="2" t="str">
        <f aca="false">VLOOKUP(B394,$N$2:$S$41,3,FALSE())</f>
        <v>Model-X</v>
      </c>
      <c r="I394" s="2" t="str">
        <f aca="false">VLOOKUP(B394,$N$2:$S$41,2,FALSE())</f>
        <v>Нижний Новгород, Белинского</v>
      </c>
      <c r="J394" s="2" t="n">
        <f aca="false">IF(F394="success",1,0)</f>
        <v>1</v>
      </c>
      <c r="K394" s="2" t="n">
        <f aca="false">VLOOKUP(H394,Lookup!$A$4:$B$6,2,FALSE())</f>
        <v>18</v>
      </c>
    </row>
    <row r="395" customFormat="false" ht="15" hidden="false" customHeight="false" outlineLevel="0" collapsed="false">
      <c r="A395" s="2" t="s">
        <v>504</v>
      </c>
      <c r="B395" s="2" t="s">
        <v>30</v>
      </c>
      <c r="C395" s="3" t="n">
        <v>46284.5275</v>
      </c>
      <c r="D395" s="2" t="s">
        <v>46</v>
      </c>
      <c r="E395" s="2" t="n">
        <v>15000</v>
      </c>
      <c r="F395" s="2" t="s">
        <v>18</v>
      </c>
      <c r="G395" s="2"/>
      <c r="H395" s="2" t="str">
        <f aca="false">VLOOKUP(B395,$N$2:$S$41,3,FALSE())</f>
        <v>Model-Z</v>
      </c>
      <c r="I395" s="2" t="str">
        <f aca="false">VLOOKUP(B395,$N$2:$S$41,2,FALSE())</f>
        <v>Москва, Новослободская</v>
      </c>
      <c r="J395" s="2" t="n">
        <f aca="false">IF(F395="success",1,0)</f>
        <v>1</v>
      </c>
      <c r="K395" s="2" t="n">
        <f aca="false">VLOOKUP(H395,Lookup!$A$4:$B$6,2,FALSE())</f>
        <v>16</v>
      </c>
    </row>
    <row r="396" customFormat="false" ht="15" hidden="false" customHeight="false" outlineLevel="0" collapsed="false">
      <c r="A396" s="2" t="s">
        <v>505</v>
      </c>
      <c r="B396" s="2" t="s">
        <v>53</v>
      </c>
      <c r="C396" s="3" t="n">
        <v>46284.5738773148</v>
      </c>
      <c r="D396" s="2" t="s">
        <v>29</v>
      </c>
      <c r="E396" s="2" t="n">
        <v>0</v>
      </c>
      <c r="F396" s="2" t="s">
        <v>18</v>
      </c>
      <c r="G396" s="2"/>
      <c r="H396" s="2" t="str">
        <f aca="false">VLOOKUP(B396,$N$2:$S$41,3,FALSE())</f>
        <v>Model-Z</v>
      </c>
      <c r="I396" s="2" t="str">
        <f aca="false">VLOOKUP(B396,$N$2:$S$41,2,FALSE())</f>
        <v>Ростов-на-Дону, Будённовский</v>
      </c>
      <c r="J396" s="2" t="n">
        <f aca="false">IF(F396="success",1,0)</f>
        <v>1</v>
      </c>
      <c r="K396" s="2" t="n">
        <f aca="false">VLOOKUP(H396,Lookup!$A$4:$B$6,2,FALSE())</f>
        <v>16</v>
      </c>
    </row>
    <row r="397" customFormat="false" ht="15" hidden="false" customHeight="false" outlineLevel="0" collapsed="false">
      <c r="A397" s="2" t="s">
        <v>506</v>
      </c>
      <c r="B397" s="2" t="s">
        <v>58</v>
      </c>
      <c r="C397" s="3" t="n">
        <v>46284.5954282407</v>
      </c>
      <c r="D397" s="2" t="s">
        <v>17</v>
      </c>
      <c r="E397" s="2" t="n">
        <v>15000</v>
      </c>
      <c r="F397" s="2" t="s">
        <v>18</v>
      </c>
      <c r="G397" s="2"/>
      <c r="H397" s="2" t="str">
        <f aca="false">VLOOKUP(B397,$N$2:$S$41,3,FALSE())</f>
        <v>Model-Y</v>
      </c>
      <c r="I397" s="2" t="str">
        <f aca="false">VLOOKUP(B397,$N$2:$S$41,2,FALSE())</f>
        <v>Краснодар, Красная</v>
      </c>
      <c r="J397" s="2" t="n">
        <f aca="false">IF(F397="success",1,0)</f>
        <v>1</v>
      </c>
      <c r="K397" s="2" t="n">
        <f aca="false">VLOOKUP(H397,Lookup!$A$4:$B$6,2,FALSE())</f>
        <v>14</v>
      </c>
    </row>
    <row r="398" customFormat="false" ht="15" hidden="false" customHeight="false" outlineLevel="0" collapsed="false">
      <c r="A398" s="2" t="s">
        <v>507</v>
      </c>
      <c r="B398" s="2" t="s">
        <v>85</v>
      </c>
      <c r="C398" s="3" t="n">
        <v>46284.7189699074</v>
      </c>
      <c r="D398" s="2" t="s">
        <v>17</v>
      </c>
      <c r="E398" s="2" t="n">
        <v>500</v>
      </c>
      <c r="F398" s="2" t="s">
        <v>18</v>
      </c>
      <c r="G398" s="2"/>
      <c r="H398" s="2" t="str">
        <f aca="false">VLOOKUP(B398,$N$2:$S$41,3,FALSE())</f>
        <v>Model-Y</v>
      </c>
      <c r="I398" s="2" t="str">
        <f aca="false">VLOOKUP(B398,$N$2:$S$41,2,FALSE())</f>
        <v>Екатеринбург, 8 Марта</v>
      </c>
      <c r="J398" s="2" t="n">
        <f aca="false">IF(F398="success",1,0)</f>
        <v>1</v>
      </c>
      <c r="K398" s="2" t="n">
        <f aca="false">VLOOKUP(H398,Lookup!$A$4:$B$6,2,FALSE())</f>
        <v>14</v>
      </c>
    </row>
    <row r="399" customFormat="false" ht="15" hidden="false" customHeight="false" outlineLevel="0" collapsed="false">
      <c r="A399" s="2" t="s">
        <v>508</v>
      </c>
      <c r="B399" s="2" t="s">
        <v>84</v>
      </c>
      <c r="C399" s="3" t="n">
        <v>46284.7255555556</v>
      </c>
      <c r="D399" s="2" t="s">
        <v>17</v>
      </c>
      <c r="E399" s="2" t="n">
        <v>10000</v>
      </c>
      <c r="F399" s="2" t="s">
        <v>18</v>
      </c>
      <c r="G399" s="2"/>
      <c r="H399" s="2" t="str">
        <f aca="false">VLOOKUP(B399,$N$2:$S$41,3,FALSE())</f>
        <v>Model-X</v>
      </c>
      <c r="I399" s="2" t="str">
        <f aca="false">VLOOKUP(B399,$N$2:$S$41,2,FALSE())</f>
        <v>Новосибирск, Красный пр-т</v>
      </c>
      <c r="J399" s="2" t="n">
        <f aca="false">IF(F399="success",1,0)</f>
        <v>1</v>
      </c>
      <c r="K399" s="2" t="n">
        <f aca="false">VLOOKUP(H399,Lookup!$A$4:$B$6,2,FALSE())</f>
        <v>18</v>
      </c>
    </row>
    <row r="400" customFormat="false" ht="15" hidden="false" customHeight="false" outlineLevel="0" collapsed="false">
      <c r="A400" s="2" t="s">
        <v>509</v>
      </c>
      <c r="B400" s="2" t="s">
        <v>58</v>
      </c>
      <c r="C400" s="3" t="n">
        <v>46284.7326736111</v>
      </c>
      <c r="D400" s="2" t="s">
        <v>29</v>
      </c>
      <c r="E400" s="2" t="n">
        <v>0</v>
      </c>
      <c r="F400" s="2" t="s">
        <v>18</v>
      </c>
      <c r="G400" s="2"/>
      <c r="H400" s="2" t="str">
        <f aca="false">VLOOKUP(B400,$N$2:$S$41,3,FALSE())</f>
        <v>Model-Y</v>
      </c>
      <c r="I400" s="2" t="str">
        <f aca="false">VLOOKUP(B400,$N$2:$S$41,2,FALSE())</f>
        <v>Краснодар, Красная</v>
      </c>
      <c r="J400" s="2" t="n">
        <f aca="false">IF(F400="success",1,0)</f>
        <v>1</v>
      </c>
      <c r="K400" s="2" t="n">
        <f aca="false">VLOOKUP(H400,Lookup!$A$4:$B$6,2,FALSE())</f>
        <v>14</v>
      </c>
    </row>
    <row r="401" customFormat="false" ht="15" hidden="false" customHeight="false" outlineLevel="0" collapsed="false">
      <c r="A401" s="2" t="s">
        <v>510</v>
      </c>
      <c r="B401" s="2" t="s">
        <v>35</v>
      </c>
      <c r="C401" s="3" t="n">
        <v>46284.8450578704</v>
      </c>
      <c r="D401" s="2" t="s">
        <v>17</v>
      </c>
      <c r="E401" s="2" t="n">
        <v>5000</v>
      </c>
      <c r="F401" s="2" t="s">
        <v>18</v>
      </c>
      <c r="G401" s="2"/>
      <c r="H401" s="2" t="str">
        <f aca="false">VLOOKUP(B401,$N$2:$S$41,3,FALSE())</f>
        <v>Model-X</v>
      </c>
      <c r="I401" s="2" t="str">
        <f aca="false">VLOOKUP(B401,$N$2:$S$41,2,FALSE())</f>
        <v>Москва, Ленинградский пр-т</v>
      </c>
      <c r="J401" s="2" t="n">
        <f aca="false">IF(F401="success",1,0)</f>
        <v>1</v>
      </c>
      <c r="K401" s="2" t="n">
        <f aca="false">VLOOKUP(H401,Lookup!$A$4:$B$6,2,FALSE())</f>
        <v>18</v>
      </c>
    </row>
    <row r="402" customFormat="false" ht="15" hidden="false" customHeight="false" outlineLevel="0" collapsed="false">
      <c r="A402" s="2" t="s">
        <v>511</v>
      </c>
      <c r="B402" s="2" t="s">
        <v>50</v>
      </c>
      <c r="C402" s="3" t="n">
        <v>46284.8595717593</v>
      </c>
      <c r="D402" s="2" t="s">
        <v>29</v>
      </c>
      <c r="E402" s="2" t="n">
        <v>0</v>
      </c>
      <c r="F402" s="2" t="s">
        <v>18</v>
      </c>
      <c r="G402" s="2"/>
      <c r="H402" s="2" t="str">
        <f aca="false">VLOOKUP(B402,$N$2:$S$41,3,FALSE())</f>
        <v>Model-Y</v>
      </c>
      <c r="I402" s="2" t="str">
        <f aca="false">VLOOKUP(B402,$N$2:$S$41,2,FALSE())</f>
        <v>Санкт-Петербург, Московский пр-т</v>
      </c>
      <c r="J402" s="2" t="n">
        <f aca="false">IF(F402="success",1,0)</f>
        <v>1</v>
      </c>
      <c r="K402" s="2" t="n">
        <f aca="false">VLOOKUP(H402,Lookup!$A$4:$B$6,2,FALSE())</f>
        <v>14</v>
      </c>
    </row>
    <row r="403" customFormat="false" ht="15" hidden="false" customHeight="false" outlineLevel="0" collapsed="false">
      <c r="A403" s="2" t="s">
        <v>512</v>
      </c>
      <c r="B403" s="2" t="s">
        <v>72</v>
      </c>
      <c r="C403" s="3" t="n">
        <v>46284.8862615741</v>
      </c>
      <c r="D403" s="2" t="s">
        <v>29</v>
      </c>
      <c r="E403" s="2" t="n">
        <v>0</v>
      </c>
      <c r="F403" s="2" t="s">
        <v>18</v>
      </c>
      <c r="G403" s="2"/>
      <c r="H403" s="2" t="str">
        <f aca="false">VLOOKUP(B403,$N$2:$S$41,3,FALSE())</f>
        <v>Model-Y</v>
      </c>
      <c r="I403" s="2" t="str">
        <f aca="false">VLOOKUP(B403,$N$2:$S$41,2,FALSE())</f>
        <v>Ростов-на-Дону, Садовая</v>
      </c>
      <c r="J403" s="2" t="n">
        <f aca="false">IF(F403="success",1,0)</f>
        <v>1</v>
      </c>
      <c r="K403" s="2" t="n">
        <f aca="false">VLOOKUP(H403,Lookup!$A$4:$B$6,2,FALSE())</f>
        <v>14</v>
      </c>
    </row>
    <row r="404" customFormat="false" ht="15" hidden="false" customHeight="false" outlineLevel="0" collapsed="false">
      <c r="A404" s="2" t="s">
        <v>513</v>
      </c>
      <c r="B404" s="2" t="s">
        <v>130</v>
      </c>
      <c r="C404" s="3" t="n">
        <v>46284.8965509259</v>
      </c>
      <c r="D404" s="2" t="s">
        <v>65</v>
      </c>
      <c r="E404" s="2" t="n">
        <v>5000</v>
      </c>
      <c r="F404" s="2" t="s">
        <v>76</v>
      </c>
      <c r="G404" s="2" t="s">
        <v>77</v>
      </c>
      <c r="H404" s="2" t="str">
        <f aca="false">VLOOKUP(B404,$N$2:$S$41,3,FALSE())</f>
        <v>Model-Z</v>
      </c>
      <c r="I404" s="2" t="str">
        <f aca="false">VLOOKUP(B404,$N$2:$S$41,2,FALSE())</f>
        <v>Краснодар, Северная</v>
      </c>
      <c r="J404" s="2" t="n">
        <f aca="false">IF(F404="success",1,0)</f>
        <v>0</v>
      </c>
      <c r="K404" s="2" t="n">
        <f aca="false">VLOOKUP(H404,Lookup!$A$4:$B$6,2,FALSE())</f>
        <v>16</v>
      </c>
    </row>
    <row r="405" customFormat="false" ht="15" hidden="false" customHeight="false" outlineLevel="0" collapsed="false">
      <c r="A405" s="2" t="s">
        <v>514</v>
      </c>
      <c r="B405" s="2" t="s">
        <v>16</v>
      </c>
      <c r="C405" s="3" t="n">
        <v>46284.8981018519</v>
      </c>
      <c r="D405" s="2" t="s">
        <v>17</v>
      </c>
      <c r="E405" s="2" t="n">
        <v>7000</v>
      </c>
      <c r="F405" s="2" t="s">
        <v>18</v>
      </c>
      <c r="G405" s="2"/>
      <c r="H405" s="2" t="str">
        <f aca="false">VLOOKUP(B405,$N$2:$S$41,3,FALSE())</f>
        <v>Model-X</v>
      </c>
      <c r="I405" s="2" t="str">
        <f aca="false">VLOOKUP(B405,$N$2:$S$41,2,FALSE())</f>
        <v>Москва, Тверская</v>
      </c>
      <c r="J405" s="2" t="n">
        <f aca="false">IF(F405="success",1,0)</f>
        <v>1</v>
      </c>
      <c r="K405" s="2" t="n">
        <f aca="false">VLOOKUP(H405,Lookup!$A$4:$B$6,2,FALSE())</f>
        <v>18</v>
      </c>
    </row>
    <row r="406" customFormat="false" ht="15" hidden="false" customHeight="false" outlineLevel="0" collapsed="false">
      <c r="A406" s="2" t="s">
        <v>515</v>
      </c>
      <c r="B406" s="2" t="s">
        <v>93</v>
      </c>
      <c r="C406" s="3" t="n">
        <v>46284.942650463</v>
      </c>
      <c r="D406" s="2" t="s">
        <v>29</v>
      </c>
      <c r="E406" s="2" t="n">
        <v>0</v>
      </c>
      <c r="F406" s="2" t="s">
        <v>18</v>
      </c>
      <c r="G406" s="2"/>
      <c r="H406" s="2" t="str">
        <f aca="false">VLOOKUP(B406,$N$2:$S$41,3,FALSE())</f>
        <v>Model-Y</v>
      </c>
      <c r="I406" s="2" t="str">
        <f aca="false">VLOOKUP(B406,$N$2:$S$41,2,FALSE())</f>
        <v>Новосибирск, Ленина</v>
      </c>
      <c r="J406" s="2" t="n">
        <f aca="false">IF(F406="success",1,0)</f>
        <v>1</v>
      </c>
      <c r="K406" s="2" t="n">
        <f aca="false">VLOOKUP(H406,Lookup!$A$4:$B$6,2,FALSE())</f>
        <v>14</v>
      </c>
    </row>
    <row r="407" customFormat="false" ht="15" hidden="false" customHeight="false" outlineLevel="0" collapsed="false">
      <c r="A407" s="2" t="s">
        <v>516</v>
      </c>
      <c r="B407" s="2" t="s">
        <v>114</v>
      </c>
      <c r="C407" s="3" t="n">
        <v>46284.952025463</v>
      </c>
      <c r="D407" s="2" t="s">
        <v>17</v>
      </c>
      <c r="E407" s="2" t="n">
        <v>1500</v>
      </c>
      <c r="F407" s="2" t="s">
        <v>18</v>
      </c>
      <c r="G407" s="2"/>
      <c r="H407" s="2" t="str">
        <f aca="false">VLOOKUP(B407,$N$2:$S$41,3,FALSE())</f>
        <v>Model-Z</v>
      </c>
      <c r="I407" s="2" t="str">
        <f aca="false">VLOOKUP(B407,$N$2:$S$41,2,FALSE())</f>
        <v>Самара, Куйбышева</v>
      </c>
      <c r="J407" s="2" t="n">
        <f aca="false">IF(F407="success",1,0)</f>
        <v>1</v>
      </c>
      <c r="K407" s="2" t="n">
        <f aca="false">VLOOKUP(H407,Lookup!$A$4:$B$6,2,FALSE())</f>
        <v>16</v>
      </c>
    </row>
    <row r="408" customFormat="false" ht="15" hidden="false" customHeight="false" outlineLevel="0" collapsed="false">
      <c r="A408" s="2" t="s">
        <v>517</v>
      </c>
      <c r="B408" s="2" t="s">
        <v>69</v>
      </c>
      <c r="C408" s="3" t="n">
        <v>46285.3287384259</v>
      </c>
      <c r="D408" s="2" t="s">
        <v>17</v>
      </c>
      <c r="E408" s="2" t="n">
        <v>10000</v>
      </c>
      <c r="F408" s="2" t="s">
        <v>18</v>
      </c>
      <c r="G408" s="2"/>
      <c r="H408" s="2" t="str">
        <f aca="false">VLOOKUP(B408,$N$2:$S$41,3,FALSE())</f>
        <v>Model-X</v>
      </c>
      <c r="I408" s="2" t="str">
        <f aca="false">VLOOKUP(B408,$N$2:$S$41,2,FALSE())</f>
        <v>Казань, Пушкина</v>
      </c>
      <c r="J408" s="2" t="n">
        <f aca="false">IF(F408="success",1,0)</f>
        <v>1</v>
      </c>
      <c r="K408" s="2" t="n">
        <f aca="false">VLOOKUP(H408,Lookup!$A$4:$B$6,2,FALSE())</f>
        <v>18</v>
      </c>
    </row>
    <row r="409" customFormat="false" ht="15" hidden="false" customHeight="false" outlineLevel="0" collapsed="false">
      <c r="A409" s="2" t="s">
        <v>518</v>
      </c>
      <c r="B409" s="2" t="s">
        <v>84</v>
      </c>
      <c r="C409" s="3" t="n">
        <v>46285.3353472222</v>
      </c>
      <c r="D409" s="2" t="s">
        <v>17</v>
      </c>
      <c r="E409" s="2" t="n">
        <v>5000</v>
      </c>
      <c r="F409" s="2" t="s">
        <v>18</v>
      </c>
      <c r="G409" s="2"/>
      <c r="H409" s="2" t="str">
        <f aca="false">VLOOKUP(B409,$N$2:$S$41,3,FALSE())</f>
        <v>Model-X</v>
      </c>
      <c r="I409" s="2" t="str">
        <f aca="false">VLOOKUP(B409,$N$2:$S$41,2,FALSE())</f>
        <v>Новосибирск, Красный пр-т</v>
      </c>
      <c r="J409" s="2" t="n">
        <f aca="false">IF(F409="success",1,0)</f>
        <v>1</v>
      </c>
      <c r="K409" s="2" t="n">
        <f aca="false">VLOOKUP(H409,Lookup!$A$4:$B$6,2,FALSE())</f>
        <v>18</v>
      </c>
    </row>
    <row r="410" customFormat="false" ht="15" hidden="false" customHeight="false" outlineLevel="0" collapsed="false">
      <c r="A410" s="2" t="s">
        <v>519</v>
      </c>
      <c r="B410" s="2" t="s">
        <v>45</v>
      </c>
      <c r="C410" s="3" t="n">
        <v>46285.3393055556</v>
      </c>
      <c r="D410" s="2" t="s">
        <v>29</v>
      </c>
      <c r="E410" s="2" t="n">
        <v>0</v>
      </c>
      <c r="F410" s="2" t="s">
        <v>18</v>
      </c>
      <c r="G410" s="2"/>
      <c r="H410" s="2" t="str">
        <f aca="false">VLOOKUP(B410,$N$2:$S$41,3,FALSE())</f>
        <v>Model-Y</v>
      </c>
      <c r="I410" s="2" t="str">
        <f aca="false">VLOOKUP(B410,$N$2:$S$41,2,FALSE())</f>
        <v>Воронеж, Плехановская</v>
      </c>
      <c r="J410" s="2" t="n">
        <f aca="false">IF(F410="success",1,0)</f>
        <v>1</v>
      </c>
      <c r="K410" s="2" t="n">
        <f aca="false">VLOOKUP(H410,Lookup!$A$4:$B$6,2,FALSE())</f>
        <v>14</v>
      </c>
    </row>
    <row r="411" customFormat="false" ht="15" hidden="false" customHeight="false" outlineLevel="0" collapsed="false">
      <c r="A411" s="2" t="s">
        <v>520</v>
      </c>
      <c r="B411" s="2" t="s">
        <v>114</v>
      </c>
      <c r="C411" s="3" t="n">
        <v>46285.341412037</v>
      </c>
      <c r="D411" s="2" t="s">
        <v>17</v>
      </c>
      <c r="E411" s="2" t="n">
        <v>7000</v>
      </c>
      <c r="F411" s="2" t="s">
        <v>100</v>
      </c>
      <c r="G411" s="2"/>
      <c r="H411" s="2" t="str">
        <f aca="false">VLOOKUP(B411,$N$2:$S$41,3,FALSE())</f>
        <v>Model-Z</v>
      </c>
      <c r="I411" s="2" t="str">
        <f aca="false">VLOOKUP(B411,$N$2:$S$41,2,FALSE())</f>
        <v>Самара, Куйбышева</v>
      </c>
      <c r="J411" s="2" t="n">
        <f aca="false">IF(F411="success",1,0)</f>
        <v>0</v>
      </c>
      <c r="K411" s="2" t="n">
        <f aca="false">VLOOKUP(H411,Lookup!$A$4:$B$6,2,FALSE())</f>
        <v>16</v>
      </c>
    </row>
    <row r="412" customFormat="false" ht="15" hidden="false" customHeight="false" outlineLevel="0" collapsed="false">
      <c r="A412" s="2" t="s">
        <v>521</v>
      </c>
      <c r="B412" s="2" t="s">
        <v>106</v>
      </c>
      <c r="C412" s="3" t="n">
        <v>46285.3525694445</v>
      </c>
      <c r="D412" s="2" t="s">
        <v>17</v>
      </c>
      <c r="E412" s="2" t="n">
        <v>1500</v>
      </c>
      <c r="F412" s="2" t="s">
        <v>18</v>
      </c>
      <c r="G412" s="2"/>
      <c r="H412" s="2" t="str">
        <f aca="false">VLOOKUP(B412,$N$2:$S$41,3,FALSE())</f>
        <v>Model-Z</v>
      </c>
      <c r="I412" s="2" t="str">
        <f aca="false">VLOOKUP(B412,$N$2:$S$41,2,FALSE())</f>
        <v>Нижний Новгород, Рождественская</v>
      </c>
      <c r="J412" s="2" t="n">
        <f aca="false">IF(F412="success",1,0)</f>
        <v>1</v>
      </c>
      <c r="K412" s="2" t="n">
        <f aca="false">VLOOKUP(H412,Lookup!$A$4:$B$6,2,FALSE())</f>
        <v>16</v>
      </c>
    </row>
    <row r="413" customFormat="false" ht="15" hidden="false" customHeight="false" outlineLevel="0" collapsed="false">
      <c r="A413" s="2" t="s">
        <v>522</v>
      </c>
      <c r="B413" s="2" t="s">
        <v>73</v>
      </c>
      <c r="C413" s="3" t="n">
        <v>46285.4055902778</v>
      </c>
      <c r="D413" s="2" t="s">
        <v>17</v>
      </c>
      <c r="E413" s="2" t="n">
        <v>500</v>
      </c>
      <c r="F413" s="2" t="s">
        <v>18</v>
      </c>
      <c r="G413" s="2"/>
      <c r="H413" s="2" t="str">
        <f aca="false">VLOOKUP(B413,$N$2:$S$41,3,FALSE())</f>
        <v>Model-Y</v>
      </c>
      <c r="I413" s="2" t="str">
        <f aca="false">VLOOKUP(B413,$N$2:$S$41,2,FALSE())</f>
        <v>Казань, Чистопольская</v>
      </c>
      <c r="J413" s="2" t="n">
        <f aca="false">IF(F413="success",1,0)</f>
        <v>1</v>
      </c>
      <c r="K413" s="2" t="n">
        <f aca="false">VLOOKUP(H413,Lookup!$A$4:$B$6,2,FALSE())</f>
        <v>14</v>
      </c>
    </row>
    <row r="414" customFormat="false" ht="15" hidden="false" customHeight="false" outlineLevel="0" collapsed="false">
      <c r="A414" s="2" t="s">
        <v>523</v>
      </c>
      <c r="B414" s="2" t="s">
        <v>103</v>
      </c>
      <c r="C414" s="3" t="n">
        <v>46285.4701967593</v>
      </c>
      <c r="D414" s="2" t="s">
        <v>17</v>
      </c>
      <c r="E414" s="2" t="n">
        <v>3000</v>
      </c>
      <c r="F414" s="2" t="s">
        <v>18</v>
      </c>
      <c r="G414" s="2"/>
      <c r="H414" s="2" t="str">
        <f aca="false">VLOOKUP(B414,$N$2:$S$41,3,FALSE())</f>
        <v>Model-Y</v>
      </c>
      <c r="I414" s="2" t="str">
        <f aca="false">VLOOKUP(B414,$N$2:$S$41,2,FALSE())</f>
        <v>Нижний Новгород, Большая Покровская</v>
      </c>
      <c r="J414" s="2" t="n">
        <f aca="false">IF(F414="success",1,0)</f>
        <v>1</v>
      </c>
      <c r="K414" s="2" t="n">
        <f aca="false">VLOOKUP(H414,Lookup!$A$4:$B$6,2,FALSE())</f>
        <v>14</v>
      </c>
    </row>
    <row r="415" customFormat="false" ht="15" hidden="false" customHeight="false" outlineLevel="0" collapsed="false">
      <c r="A415" s="2" t="s">
        <v>524</v>
      </c>
      <c r="B415" s="2" t="s">
        <v>16</v>
      </c>
      <c r="C415" s="3" t="n">
        <v>46285.4809143519</v>
      </c>
      <c r="D415" s="2" t="s">
        <v>17</v>
      </c>
      <c r="E415" s="2" t="n">
        <v>10000</v>
      </c>
      <c r="F415" s="2" t="s">
        <v>18</v>
      </c>
      <c r="G415" s="2"/>
      <c r="H415" s="2" t="str">
        <f aca="false">VLOOKUP(B415,$N$2:$S$41,3,FALSE())</f>
        <v>Model-X</v>
      </c>
      <c r="I415" s="2" t="str">
        <f aca="false">VLOOKUP(B415,$N$2:$S$41,2,FALSE())</f>
        <v>Москва, Тверская</v>
      </c>
      <c r="J415" s="2" t="n">
        <f aca="false">IF(F415="success",1,0)</f>
        <v>1</v>
      </c>
      <c r="K415" s="2" t="n">
        <f aca="false">VLOOKUP(H415,Lookup!$A$4:$B$6,2,FALSE())</f>
        <v>18</v>
      </c>
    </row>
    <row r="416" customFormat="false" ht="15" hidden="false" customHeight="false" outlineLevel="0" collapsed="false">
      <c r="A416" s="2" t="s">
        <v>525</v>
      </c>
      <c r="B416" s="2" t="s">
        <v>93</v>
      </c>
      <c r="C416" s="3" t="n">
        <v>46285.4863310185</v>
      </c>
      <c r="D416" s="2" t="s">
        <v>17</v>
      </c>
      <c r="E416" s="2" t="n">
        <v>15000</v>
      </c>
      <c r="F416" s="2" t="s">
        <v>18</v>
      </c>
      <c r="G416" s="2"/>
      <c r="H416" s="2" t="str">
        <f aca="false">VLOOKUP(B416,$N$2:$S$41,3,FALSE())</f>
        <v>Model-Y</v>
      </c>
      <c r="I416" s="2" t="str">
        <f aca="false">VLOOKUP(B416,$N$2:$S$41,2,FALSE())</f>
        <v>Новосибирск, Ленина</v>
      </c>
      <c r="J416" s="2" t="n">
        <f aca="false">IF(F416="success",1,0)</f>
        <v>1</v>
      </c>
      <c r="K416" s="2" t="n">
        <f aca="false">VLOOKUP(H416,Lookup!$A$4:$B$6,2,FALSE())</f>
        <v>14</v>
      </c>
    </row>
    <row r="417" customFormat="false" ht="15" hidden="false" customHeight="false" outlineLevel="0" collapsed="false">
      <c r="A417" s="2" t="s">
        <v>526</v>
      </c>
      <c r="B417" s="2" t="s">
        <v>47</v>
      </c>
      <c r="C417" s="3" t="n">
        <v>46285.5039236111</v>
      </c>
      <c r="D417" s="2" t="s">
        <v>17</v>
      </c>
      <c r="E417" s="2" t="n">
        <v>1500</v>
      </c>
      <c r="F417" s="2" t="s">
        <v>76</v>
      </c>
      <c r="G417" s="2" t="s">
        <v>77</v>
      </c>
      <c r="H417" s="2" t="str">
        <f aca="false">VLOOKUP(B417,$N$2:$S$41,3,FALSE())</f>
        <v>Model-X</v>
      </c>
      <c r="I417" s="2" t="str">
        <f aca="false">VLOOKUP(B417,$N$2:$S$41,2,FALSE())</f>
        <v>Санкт-Петербург, Невский пр-т</v>
      </c>
      <c r="J417" s="2" t="n">
        <f aca="false">IF(F417="success",1,0)</f>
        <v>0</v>
      </c>
      <c r="K417" s="2" t="n">
        <f aca="false">VLOOKUP(H417,Lookup!$A$4:$B$6,2,FALSE())</f>
        <v>18</v>
      </c>
    </row>
    <row r="418" customFormat="false" ht="15" hidden="false" customHeight="false" outlineLevel="0" collapsed="false">
      <c r="A418" s="2" t="s">
        <v>527</v>
      </c>
      <c r="B418" s="2" t="s">
        <v>81</v>
      </c>
      <c r="C418" s="3" t="n">
        <v>46285.5415162037</v>
      </c>
      <c r="D418" s="2" t="s">
        <v>17</v>
      </c>
      <c r="E418" s="2" t="n">
        <v>1500</v>
      </c>
      <c r="F418" s="2" t="s">
        <v>18</v>
      </c>
      <c r="G418" s="2"/>
      <c r="H418" s="2" t="str">
        <f aca="false">VLOOKUP(B418,$N$2:$S$41,3,FALSE())</f>
        <v>Model-X</v>
      </c>
      <c r="I418" s="2" t="str">
        <f aca="false">VLOOKUP(B418,$N$2:$S$41,2,FALSE())</f>
        <v>Екатеринбург, Малышева</v>
      </c>
      <c r="J418" s="2" t="n">
        <f aca="false">IF(F418="success",1,0)</f>
        <v>1</v>
      </c>
      <c r="K418" s="2" t="n">
        <f aca="false">VLOOKUP(H418,Lookup!$A$4:$B$6,2,FALSE())</f>
        <v>18</v>
      </c>
    </row>
    <row r="419" customFormat="false" ht="15" hidden="false" customHeight="false" outlineLevel="0" collapsed="false">
      <c r="A419" s="2" t="s">
        <v>528</v>
      </c>
      <c r="B419" s="2" t="s">
        <v>16</v>
      </c>
      <c r="C419" s="3" t="n">
        <v>46285.5823611111</v>
      </c>
      <c r="D419" s="2" t="s">
        <v>17</v>
      </c>
      <c r="E419" s="2" t="n">
        <v>15000</v>
      </c>
      <c r="F419" s="2" t="s">
        <v>76</v>
      </c>
      <c r="G419" s="2" t="s">
        <v>77</v>
      </c>
      <c r="H419" s="2" t="str">
        <f aca="false">VLOOKUP(B419,$N$2:$S$41,3,FALSE())</f>
        <v>Model-X</v>
      </c>
      <c r="I419" s="2" t="str">
        <f aca="false">VLOOKUP(B419,$N$2:$S$41,2,FALSE())</f>
        <v>Москва, Тверская</v>
      </c>
      <c r="J419" s="2" t="n">
        <f aca="false">IF(F419="success",1,0)</f>
        <v>0</v>
      </c>
      <c r="K419" s="2" t="n">
        <f aca="false">VLOOKUP(H419,Lookup!$A$4:$B$6,2,FALSE())</f>
        <v>18</v>
      </c>
    </row>
    <row r="420" customFormat="false" ht="15" hidden="false" customHeight="false" outlineLevel="0" collapsed="false">
      <c r="A420" s="2" t="s">
        <v>529</v>
      </c>
      <c r="B420" s="2" t="s">
        <v>81</v>
      </c>
      <c r="C420" s="3" t="n">
        <v>46285.7120949074</v>
      </c>
      <c r="D420" s="2" t="s">
        <v>17</v>
      </c>
      <c r="E420" s="2" t="n">
        <v>2000</v>
      </c>
      <c r="F420" s="2" t="s">
        <v>18</v>
      </c>
      <c r="G420" s="2"/>
      <c r="H420" s="2" t="str">
        <f aca="false">VLOOKUP(B420,$N$2:$S$41,3,FALSE())</f>
        <v>Model-X</v>
      </c>
      <c r="I420" s="2" t="str">
        <f aca="false">VLOOKUP(B420,$N$2:$S$41,2,FALSE())</f>
        <v>Екатеринбург, Малышева</v>
      </c>
      <c r="J420" s="2" t="n">
        <f aca="false">IF(F420="success",1,0)</f>
        <v>1</v>
      </c>
      <c r="K420" s="2" t="n">
        <f aca="false">VLOOKUP(H420,Lookup!$A$4:$B$6,2,FALSE())</f>
        <v>18</v>
      </c>
    </row>
    <row r="421" customFormat="false" ht="15" hidden="false" customHeight="false" outlineLevel="0" collapsed="false">
      <c r="A421" s="2" t="s">
        <v>530</v>
      </c>
      <c r="B421" s="2" t="s">
        <v>106</v>
      </c>
      <c r="C421" s="3" t="n">
        <v>46285.7225462963</v>
      </c>
      <c r="D421" s="2" t="s">
        <v>17</v>
      </c>
      <c r="E421" s="2" t="n">
        <v>3000</v>
      </c>
      <c r="F421" s="2" t="s">
        <v>18</v>
      </c>
      <c r="G421" s="2"/>
      <c r="H421" s="2" t="str">
        <f aca="false">VLOOKUP(B421,$N$2:$S$41,3,FALSE())</f>
        <v>Model-Z</v>
      </c>
      <c r="I421" s="2" t="str">
        <f aca="false">VLOOKUP(B421,$N$2:$S$41,2,FALSE())</f>
        <v>Нижний Новгород, Рождественская</v>
      </c>
      <c r="J421" s="2" t="n">
        <f aca="false">IF(F421="success",1,0)</f>
        <v>1</v>
      </c>
      <c r="K421" s="2" t="n">
        <f aca="false">VLOOKUP(H421,Lookup!$A$4:$B$6,2,FALSE())</f>
        <v>16</v>
      </c>
    </row>
    <row r="422" customFormat="false" ht="15" hidden="false" customHeight="false" outlineLevel="0" collapsed="false">
      <c r="A422" s="2" t="s">
        <v>531</v>
      </c>
      <c r="B422" s="2" t="s">
        <v>47</v>
      </c>
      <c r="C422" s="3" t="n">
        <v>46285.7662847222</v>
      </c>
      <c r="D422" s="2" t="s">
        <v>29</v>
      </c>
      <c r="E422" s="2" t="n">
        <v>0</v>
      </c>
      <c r="F422" s="2" t="s">
        <v>18</v>
      </c>
      <c r="G422" s="2"/>
      <c r="H422" s="2" t="str">
        <f aca="false">VLOOKUP(B422,$N$2:$S$41,3,FALSE())</f>
        <v>Model-X</v>
      </c>
      <c r="I422" s="2" t="str">
        <f aca="false">VLOOKUP(B422,$N$2:$S$41,2,FALSE())</f>
        <v>Санкт-Петербург, Невский пр-т</v>
      </c>
      <c r="J422" s="2" t="n">
        <f aca="false">IF(F422="success",1,0)</f>
        <v>1</v>
      </c>
      <c r="K422" s="2" t="n">
        <f aca="false">VLOOKUP(H422,Lookup!$A$4:$B$6,2,FALSE())</f>
        <v>18</v>
      </c>
    </row>
    <row r="423" customFormat="false" ht="15" hidden="false" customHeight="false" outlineLevel="0" collapsed="false">
      <c r="A423" s="2" t="s">
        <v>532</v>
      </c>
      <c r="B423" s="2" t="s">
        <v>35</v>
      </c>
      <c r="C423" s="3" t="n">
        <v>46285.9153703704</v>
      </c>
      <c r="D423" s="2" t="s">
        <v>46</v>
      </c>
      <c r="E423" s="2" t="n">
        <v>10000</v>
      </c>
      <c r="F423" s="2" t="s">
        <v>18</v>
      </c>
      <c r="G423" s="2"/>
      <c r="H423" s="2" t="str">
        <f aca="false">VLOOKUP(B423,$N$2:$S$41,3,FALSE())</f>
        <v>Model-X</v>
      </c>
      <c r="I423" s="2" t="str">
        <f aca="false">VLOOKUP(B423,$N$2:$S$41,2,FALSE())</f>
        <v>Москва, Ленинградский пр-т</v>
      </c>
      <c r="J423" s="2" t="n">
        <f aca="false">IF(F423="success",1,0)</f>
        <v>1</v>
      </c>
      <c r="K423" s="2" t="n">
        <f aca="false">VLOOKUP(H423,Lookup!$A$4:$B$6,2,FALSE())</f>
        <v>18</v>
      </c>
    </row>
    <row r="424" customFormat="false" ht="15" hidden="false" customHeight="false" outlineLevel="0" collapsed="false">
      <c r="A424" s="2" t="s">
        <v>533</v>
      </c>
      <c r="B424" s="2" t="s">
        <v>62</v>
      </c>
      <c r="C424" s="3" t="n">
        <v>46286.3078587963</v>
      </c>
      <c r="D424" s="2" t="s">
        <v>17</v>
      </c>
      <c r="E424" s="2" t="n">
        <v>10000</v>
      </c>
      <c r="F424" s="2" t="s">
        <v>76</v>
      </c>
      <c r="G424" s="2" t="s">
        <v>77</v>
      </c>
      <c r="H424" s="2" t="str">
        <f aca="false">VLOOKUP(B424,$N$2:$S$41,3,FALSE())</f>
        <v>Model-X</v>
      </c>
      <c r="I424" s="2" t="str">
        <f aca="false">VLOOKUP(B424,$N$2:$S$41,2,FALSE())</f>
        <v>Казань, Баумана</v>
      </c>
      <c r="J424" s="2" t="n">
        <f aca="false">IF(F424="success",1,0)</f>
        <v>0</v>
      </c>
      <c r="K424" s="2" t="n">
        <f aca="false">VLOOKUP(H424,Lookup!$A$4:$B$6,2,FALSE())</f>
        <v>18</v>
      </c>
    </row>
    <row r="425" customFormat="false" ht="15" hidden="false" customHeight="false" outlineLevel="0" collapsed="false">
      <c r="A425" s="2" t="s">
        <v>534</v>
      </c>
      <c r="B425" s="2" t="s">
        <v>106</v>
      </c>
      <c r="C425" s="3" t="n">
        <v>46286.3401041667</v>
      </c>
      <c r="D425" s="2" t="s">
        <v>17</v>
      </c>
      <c r="E425" s="2" t="n">
        <v>10000</v>
      </c>
      <c r="F425" s="2" t="s">
        <v>18</v>
      </c>
      <c r="G425" s="2"/>
      <c r="H425" s="2" t="str">
        <f aca="false">VLOOKUP(B425,$N$2:$S$41,3,FALSE())</f>
        <v>Model-Z</v>
      </c>
      <c r="I425" s="2" t="str">
        <f aca="false">VLOOKUP(B425,$N$2:$S$41,2,FALSE())</f>
        <v>Нижний Новгород, Рождественская</v>
      </c>
      <c r="J425" s="2" t="n">
        <f aca="false">IF(F425="success",1,0)</f>
        <v>1</v>
      </c>
      <c r="K425" s="2" t="n">
        <f aca="false">VLOOKUP(H425,Lookup!$A$4:$B$6,2,FALSE())</f>
        <v>16</v>
      </c>
    </row>
    <row r="426" customFormat="false" ht="15" hidden="false" customHeight="false" outlineLevel="0" collapsed="false">
      <c r="A426" s="2" t="s">
        <v>535</v>
      </c>
      <c r="B426" s="2" t="s">
        <v>38</v>
      </c>
      <c r="C426" s="3" t="n">
        <v>46286.3981828704</v>
      </c>
      <c r="D426" s="2" t="s">
        <v>17</v>
      </c>
      <c r="E426" s="2" t="n">
        <v>15000</v>
      </c>
      <c r="F426" s="2" t="s">
        <v>18</v>
      </c>
      <c r="G426" s="2"/>
      <c r="H426" s="2" t="str">
        <f aca="false">VLOOKUP(B426,$N$2:$S$41,3,FALSE())</f>
        <v>Model-Z</v>
      </c>
      <c r="I426" s="2" t="str">
        <f aca="false">VLOOKUP(B426,$N$2:$S$41,2,FALSE())</f>
        <v>Казань, Кремлёвская</v>
      </c>
      <c r="J426" s="2" t="n">
        <f aca="false">IF(F426="success",1,0)</f>
        <v>1</v>
      </c>
      <c r="K426" s="2" t="n">
        <f aca="false">VLOOKUP(H426,Lookup!$A$4:$B$6,2,FALSE())</f>
        <v>16</v>
      </c>
    </row>
    <row r="427" customFormat="false" ht="15" hidden="false" customHeight="false" outlineLevel="0" collapsed="false">
      <c r="A427" s="2" t="s">
        <v>536</v>
      </c>
      <c r="B427" s="2" t="s">
        <v>93</v>
      </c>
      <c r="C427" s="3" t="n">
        <v>46286.4279398148</v>
      </c>
      <c r="D427" s="2" t="s">
        <v>17</v>
      </c>
      <c r="E427" s="2" t="n">
        <v>3000</v>
      </c>
      <c r="F427" s="2" t="s">
        <v>18</v>
      </c>
      <c r="G427" s="2"/>
      <c r="H427" s="2" t="str">
        <f aca="false">VLOOKUP(B427,$N$2:$S$41,3,FALSE())</f>
        <v>Model-Y</v>
      </c>
      <c r="I427" s="2" t="str">
        <f aca="false">VLOOKUP(B427,$N$2:$S$41,2,FALSE())</f>
        <v>Новосибирск, Ленина</v>
      </c>
      <c r="J427" s="2" t="n">
        <f aca="false">IF(F427="success",1,0)</f>
        <v>1</v>
      </c>
      <c r="K427" s="2" t="n">
        <f aca="false">VLOOKUP(H427,Lookup!$A$4:$B$6,2,FALSE())</f>
        <v>14</v>
      </c>
    </row>
    <row r="428" customFormat="false" ht="15" hidden="false" customHeight="false" outlineLevel="0" collapsed="false">
      <c r="A428" s="2" t="s">
        <v>537</v>
      </c>
      <c r="B428" s="2" t="s">
        <v>45</v>
      </c>
      <c r="C428" s="3" t="n">
        <v>46286.4379976852</v>
      </c>
      <c r="D428" s="2" t="s">
        <v>46</v>
      </c>
      <c r="E428" s="2" t="n">
        <v>15000</v>
      </c>
      <c r="F428" s="2" t="s">
        <v>18</v>
      </c>
      <c r="G428" s="2"/>
      <c r="H428" s="2" t="str">
        <f aca="false">VLOOKUP(B428,$N$2:$S$41,3,FALSE())</f>
        <v>Model-Y</v>
      </c>
      <c r="I428" s="2" t="str">
        <f aca="false">VLOOKUP(B428,$N$2:$S$41,2,FALSE())</f>
        <v>Воронеж, Плехановская</v>
      </c>
      <c r="J428" s="2" t="n">
        <f aca="false">IF(F428="success",1,0)</f>
        <v>1</v>
      </c>
      <c r="K428" s="2" t="n">
        <f aca="false">VLOOKUP(H428,Lookup!$A$4:$B$6,2,FALSE())</f>
        <v>14</v>
      </c>
    </row>
    <row r="429" customFormat="false" ht="15" hidden="false" customHeight="false" outlineLevel="0" collapsed="false">
      <c r="A429" s="2" t="s">
        <v>538</v>
      </c>
      <c r="B429" s="2" t="s">
        <v>53</v>
      </c>
      <c r="C429" s="3" t="n">
        <v>46286.4640277778</v>
      </c>
      <c r="D429" s="2" t="s">
        <v>29</v>
      </c>
      <c r="E429" s="2" t="n">
        <v>0</v>
      </c>
      <c r="F429" s="2" t="s">
        <v>18</v>
      </c>
      <c r="G429" s="2"/>
      <c r="H429" s="2" t="str">
        <f aca="false">VLOOKUP(B429,$N$2:$S$41,3,FALSE())</f>
        <v>Model-Z</v>
      </c>
      <c r="I429" s="2" t="str">
        <f aca="false">VLOOKUP(B429,$N$2:$S$41,2,FALSE())</f>
        <v>Ростов-на-Дону, Будённовский</v>
      </c>
      <c r="J429" s="2" t="n">
        <f aca="false">IF(F429="success",1,0)</f>
        <v>1</v>
      </c>
      <c r="K429" s="2" t="n">
        <f aca="false">VLOOKUP(H429,Lookup!$A$4:$B$6,2,FALSE())</f>
        <v>16</v>
      </c>
    </row>
    <row r="430" customFormat="false" ht="15" hidden="false" customHeight="false" outlineLevel="0" collapsed="false">
      <c r="A430" s="2" t="s">
        <v>539</v>
      </c>
      <c r="B430" s="2" t="s">
        <v>73</v>
      </c>
      <c r="C430" s="3" t="n">
        <v>46286.5363425926</v>
      </c>
      <c r="D430" s="2" t="s">
        <v>17</v>
      </c>
      <c r="E430" s="2" t="n">
        <v>5000</v>
      </c>
      <c r="F430" s="2" t="s">
        <v>18</v>
      </c>
      <c r="G430" s="2"/>
      <c r="H430" s="2" t="str">
        <f aca="false">VLOOKUP(B430,$N$2:$S$41,3,FALSE())</f>
        <v>Model-Y</v>
      </c>
      <c r="I430" s="2" t="str">
        <f aca="false">VLOOKUP(B430,$N$2:$S$41,2,FALSE())</f>
        <v>Казань, Чистопольская</v>
      </c>
      <c r="J430" s="2" t="n">
        <f aca="false">IF(F430="success",1,0)</f>
        <v>1</v>
      </c>
      <c r="K430" s="2" t="n">
        <f aca="false">VLOOKUP(H430,Lookup!$A$4:$B$6,2,FALSE())</f>
        <v>14</v>
      </c>
    </row>
    <row r="431" customFormat="false" ht="15" hidden="false" customHeight="false" outlineLevel="0" collapsed="false">
      <c r="A431" s="2" t="s">
        <v>540</v>
      </c>
      <c r="B431" s="2" t="s">
        <v>97</v>
      </c>
      <c r="C431" s="3" t="n">
        <v>46286.5971643519</v>
      </c>
      <c r="D431" s="2" t="s">
        <v>29</v>
      </c>
      <c r="E431" s="2" t="n">
        <v>0</v>
      </c>
      <c r="F431" s="2" t="s">
        <v>18</v>
      </c>
      <c r="G431" s="2"/>
      <c r="H431" s="2" t="str">
        <f aca="false">VLOOKUP(B431,$N$2:$S$41,3,FALSE())</f>
        <v>Model-X</v>
      </c>
      <c r="I431" s="2" t="str">
        <f aca="false">VLOOKUP(B431,$N$2:$S$41,2,FALSE())</f>
        <v>Новосибирск, Гоголя</v>
      </c>
      <c r="J431" s="2" t="n">
        <f aca="false">IF(F431="success",1,0)</f>
        <v>1</v>
      </c>
      <c r="K431" s="2" t="n">
        <f aca="false">VLOOKUP(H431,Lookup!$A$4:$B$6,2,FALSE())</f>
        <v>18</v>
      </c>
    </row>
    <row r="432" customFormat="false" ht="15" hidden="false" customHeight="false" outlineLevel="0" collapsed="false">
      <c r="A432" s="2" t="s">
        <v>541</v>
      </c>
      <c r="B432" s="2" t="s">
        <v>34</v>
      </c>
      <c r="C432" s="3" t="n">
        <v>46286.6257523148</v>
      </c>
      <c r="D432" s="2" t="s">
        <v>17</v>
      </c>
      <c r="E432" s="2" t="n">
        <v>7000</v>
      </c>
      <c r="F432" s="2" t="s">
        <v>18</v>
      </c>
      <c r="G432" s="2"/>
      <c r="H432" s="2" t="str">
        <f aca="false">VLOOKUP(B432,$N$2:$S$41,3,FALSE())</f>
        <v>Model-X</v>
      </c>
      <c r="I432" s="2" t="str">
        <f aca="false">VLOOKUP(B432,$N$2:$S$41,2,FALSE())</f>
        <v>Москва, Профсоюзная</v>
      </c>
      <c r="J432" s="2" t="n">
        <f aca="false">IF(F432="success",1,0)</f>
        <v>1</v>
      </c>
      <c r="K432" s="2" t="n">
        <f aca="false">VLOOKUP(H432,Lookup!$A$4:$B$6,2,FALSE())</f>
        <v>18</v>
      </c>
    </row>
    <row r="433" customFormat="false" ht="15" hidden="false" customHeight="false" outlineLevel="0" collapsed="false">
      <c r="A433" s="2" t="s">
        <v>542</v>
      </c>
      <c r="B433" s="2" t="s">
        <v>73</v>
      </c>
      <c r="C433" s="3" t="n">
        <v>46286.6572106482</v>
      </c>
      <c r="D433" s="2" t="s">
        <v>29</v>
      </c>
      <c r="E433" s="2" t="n">
        <v>0</v>
      </c>
      <c r="F433" s="2" t="s">
        <v>18</v>
      </c>
      <c r="G433" s="2"/>
      <c r="H433" s="2" t="str">
        <f aca="false">VLOOKUP(B433,$N$2:$S$41,3,FALSE())</f>
        <v>Model-Y</v>
      </c>
      <c r="I433" s="2" t="str">
        <f aca="false">VLOOKUP(B433,$N$2:$S$41,2,FALSE())</f>
        <v>Казань, Чистопольская</v>
      </c>
      <c r="J433" s="2" t="n">
        <f aca="false">IF(F433="success",1,0)</f>
        <v>1</v>
      </c>
      <c r="K433" s="2" t="n">
        <f aca="false">VLOOKUP(H433,Lookup!$A$4:$B$6,2,FALSE())</f>
        <v>14</v>
      </c>
    </row>
    <row r="434" customFormat="false" ht="15" hidden="false" customHeight="false" outlineLevel="0" collapsed="false">
      <c r="A434" s="2" t="s">
        <v>543</v>
      </c>
      <c r="B434" s="2" t="s">
        <v>59</v>
      </c>
      <c r="C434" s="3" t="n">
        <v>46286.7925925926</v>
      </c>
      <c r="D434" s="2" t="s">
        <v>17</v>
      </c>
      <c r="E434" s="2" t="n">
        <v>10000</v>
      </c>
      <c r="F434" s="2" t="s">
        <v>18</v>
      </c>
      <c r="G434" s="2"/>
      <c r="H434" s="2" t="str">
        <f aca="false">VLOOKUP(B434,$N$2:$S$41,3,FALSE())</f>
        <v>Model-X</v>
      </c>
      <c r="I434" s="2" t="str">
        <f aca="false">VLOOKUP(B434,$N$2:$S$41,2,FALSE())</f>
        <v>Санкт-Петербург, Большой пр-т</v>
      </c>
      <c r="J434" s="2" t="n">
        <f aca="false">IF(F434="success",1,0)</f>
        <v>1</v>
      </c>
      <c r="K434" s="2" t="n">
        <f aca="false">VLOOKUP(H434,Lookup!$A$4:$B$6,2,FALSE())</f>
        <v>18</v>
      </c>
    </row>
    <row r="435" customFormat="false" ht="15" hidden="false" customHeight="false" outlineLevel="0" collapsed="false">
      <c r="A435" s="2" t="s">
        <v>544</v>
      </c>
      <c r="B435" s="2" t="s">
        <v>47</v>
      </c>
      <c r="C435" s="3" t="n">
        <v>46286.8060185185</v>
      </c>
      <c r="D435" s="2" t="s">
        <v>29</v>
      </c>
      <c r="E435" s="2" t="n">
        <v>0</v>
      </c>
      <c r="F435" s="2" t="s">
        <v>18</v>
      </c>
      <c r="G435" s="2"/>
      <c r="H435" s="2" t="str">
        <f aca="false">VLOOKUP(B435,$N$2:$S$41,3,FALSE())</f>
        <v>Model-X</v>
      </c>
      <c r="I435" s="2" t="str">
        <f aca="false">VLOOKUP(B435,$N$2:$S$41,2,FALSE())</f>
        <v>Санкт-Петербург, Невский пр-т</v>
      </c>
      <c r="J435" s="2" t="n">
        <f aca="false">IF(F435="success",1,0)</f>
        <v>1</v>
      </c>
      <c r="K435" s="2" t="n">
        <f aca="false">VLOOKUP(H435,Lookup!$A$4:$B$6,2,FALSE())</f>
        <v>18</v>
      </c>
    </row>
    <row r="436" customFormat="false" ht="15" hidden="false" customHeight="false" outlineLevel="0" collapsed="false">
      <c r="A436" s="2" t="s">
        <v>545</v>
      </c>
      <c r="B436" s="2" t="s">
        <v>114</v>
      </c>
      <c r="C436" s="3" t="n">
        <v>46286.807337963</v>
      </c>
      <c r="D436" s="2" t="s">
        <v>17</v>
      </c>
      <c r="E436" s="2" t="n">
        <v>5000</v>
      </c>
      <c r="F436" s="2" t="s">
        <v>18</v>
      </c>
      <c r="G436" s="2"/>
      <c r="H436" s="2" t="str">
        <f aca="false">VLOOKUP(B436,$N$2:$S$41,3,FALSE())</f>
        <v>Model-Z</v>
      </c>
      <c r="I436" s="2" t="str">
        <f aca="false">VLOOKUP(B436,$N$2:$S$41,2,FALSE())</f>
        <v>Самара, Куйбышева</v>
      </c>
      <c r="J436" s="2" t="n">
        <f aca="false">IF(F436="success",1,0)</f>
        <v>1</v>
      </c>
      <c r="K436" s="2" t="n">
        <f aca="false">VLOOKUP(H436,Lookup!$A$4:$B$6,2,FALSE())</f>
        <v>16</v>
      </c>
    </row>
    <row r="437" customFormat="false" ht="15" hidden="false" customHeight="false" outlineLevel="0" collapsed="false">
      <c r="A437" s="2" t="s">
        <v>546</v>
      </c>
      <c r="B437" s="2" t="s">
        <v>97</v>
      </c>
      <c r="C437" s="3" t="n">
        <v>46286.8105439815</v>
      </c>
      <c r="D437" s="2" t="s">
        <v>29</v>
      </c>
      <c r="E437" s="2" t="n">
        <v>0</v>
      </c>
      <c r="F437" s="2" t="s">
        <v>18</v>
      </c>
      <c r="G437" s="2"/>
      <c r="H437" s="2" t="str">
        <f aca="false">VLOOKUP(B437,$N$2:$S$41,3,FALSE())</f>
        <v>Model-X</v>
      </c>
      <c r="I437" s="2" t="str">
        <f aca="false">VLOOKUP(B437,$N$2:$S$41,2,FALSE())</f>
        <v>Новосибирск, Гоголя</v>
      </c>
      <c r="J437" s="2" t="n">
        <f aca="false">IF(F437="success",1,0)</f>
        <v>1</v>
      </c>
      <c r="K437" s="2" t="n">
        <f aca="false">VLOOKUP(H437,Lookup!$A$4:$B$6,2,FALSE())</f>
        <v>18</v>
      </c>
    </row>
    <row r="438" customFormat="false" ht="15" hidden="false" customHeight="false" outlineLevel="0" collapsed="false">
      <c r="A438" s="2" t="s">
        <v>547</v>
      </c>
      <c r="B438" s="2" t="s">
        <v>35</v>
      </c>
      <c r="C438" s="3" t="n">
        <v>46286.8506597222</v>
      </c>
      <c r="D438" s="2" t="s">
        <v>17</v>
      </c>
      <c r="E438" s="2" t="n">
        <v>5000</v>
      </c>
      <c r="F438" s="2" t="s">
        <v>18</v>
      </c>
      <c r="G438" s="2"/>
      <c r="H438" s="2" t="str">
        <f aca="false">VLOOKUP(B438,$N$2:$S$41,3,FALSE())</f>
        <v>Model-X</v>
      </c>
      <c r="I438" s="2" t="str">
        <f aca="false">VLOOKUP(B438,$N$2:$S$41,2,FALSE())</f>
        <v>Москва, Ленинградский пр-т</v>
      </c>
      <c r="J438" s="2" t="n">
        <f aca="false">IF(F438="success",1,0)</f>
        <v>1</v>
      </c>
      <c r="K438" s="2" t="n">
        <f aca="false">VLOOKUP(H438,Lookup!$A$4:$B$6,2,FALSE())</f>
        <v>18</v>
      </c>
    </row>
    <row r="439" customFormat="false" ht="15" hidden="false" customHeight="false" outlineLevel="0" collapsed="false">
      <c r="A439" s="2" t="s">
        <v>548</v>
      </c>
      <c r="B439" s="2" t="s">
        <v>23</v>
      </c>
      <c r="C439" s="3" t="n">
        <v>46286.9245717593</v>
      </c>
      <c r="D439" s="2" t="s">
        <v>65</v>
      </c>
      <c r="E439" s="2" t="n">
        <v>7000</v>
      </c>
      <c r="F439" s="2" t="s">
        <v>18</v>
      </c>
      <c r="G439" s="2"/>
      <c r="H439" s="2" t="str">
        <f aca="false">VLOOKUP(B439,$N$2:$S$41,3,FALSE())</f>
        <v>Model-X</v>
      </c>
      <c r="I439" s="2" t="str">
        <f aca="false">VLOOKUP(B439,$N$2:$S$41,2,FALSE())</f>
        <v>Воронеж, Кольцовская</v>
      </c>
      <c r="J439" s="2" t="n">
        <f aca="false">IF(F439="success",1,0)</f>
        <v>1</v>
      </c>
      <c r="K439" s="2" t="n">
        <f aca="false">VLOOKUP(H439,Lookup!$A$4:$B$6,2,FALSE())</f>
        <v>18</v>
      </c>
    </row>
    <row r="440" customFormat="false" ht="15" hidden="false" customHeight="false" outlineLevel="0" collapsed="false">
      <c r="A440" s="2" t="s">
        <v>549</v>
      </c>
      <c r="B440" s="2" t="s">
        <v>125</v>
      </c>
      <c r="C440" s="3" t="n">
        <v>46287.2489236111</v>
      </c>
      <c r="D440" s="2" t="s">
        <v>29</v>
      </c>
      <c r="E440" s="2" t="n">
        <v>0</v>
      </c>
      <c r="F440" s="2" t="s">
        <v>18</v>
      </c>
      <c r="G440" s="2"/>
      <c r="H440" s="2" t="str">
        <f aca="false">VLOOKUP(B440,$N$2:$S$41,3,FALSE())</f>
        <v>Model-X</v>
      </c>
      <c r="I440" s="2" t="str">
        <f aca="false">VLOOKUP(B440,$N$2:$S$41,2,FALSE())</f>
        <v>Ростов-на-Дону, Пушкинская</v>
      </c>
      <c r="J440" s="2" t="n">
        <f aca="false">IF(F440="success",1,0)</f>
        <v>1</v>
      </c>
      <c r="K440" s="2" t="n">
        <f aca="false">VLOOKUP(H440,Lookup!$A$4:$B$6,2,FALSE())</f>
        <v>18</v>
      </c>
    </row>
    <row r="441" customFormat="false" ht="15" hidden="false" customHeight="false" outlineLevel="0" collapsed="false">
      <c r="A441" s="2" t="s">
        <v>550</v>
      </c>
      <c r="B441" s="2" t="s">
        <v>42</v>
      </c>
      <c r="C441" s="3" t="n">
        <v>46287.3126157407</v>
      </c>
      <c r="D441" s="2" t="s">
        <v>17</v>
      </c>
      <c r="E441" s="2" t="n">
        <v>1000</v>
      </c>
      <c r="F441" s="2" t="s">
        <v>18</v>
      </c>
      <c r="G441" s="2"/>
      <c r="H441" s="2" t="str">
        <f aca="false">VLOOKUP(B441,$N$2:$S$41,3,FALSE())</f>
        <v>Model-X</v>
      </c>
      <c r="I441" s="2" t="str">
        <f aca="false">VLOOKUP(B441,$N$2:$S$41,2,FALSE())</f>
        <v>Краснодар, Гимназическая</v>
      </c>
      <c r="J441" s="2" t="n">
        <f aca="false">IF(F441="success",1,0)</f>
        <v>1</v>
      </c>
      <c r="K441" s="2" t="n">
        <f aca="false">VLOOKUP(H441,Lookup!$A$4:$B$6,2,FALSE())</f>
        <v>18</v>
      </c>
    </row>
    <row r="442" customFormat="false" ht="15" hidden="false" customHeight="false" outlineLevel="0" collapsed="false">
      <c r="A442" s="2" t="s">
        <v>551</v>
      </c>
      <c r="B442" s="2" t="s">
        <v>97</v>
      </c>
      <c r="C442" s="3" t="n">
        <v>46287.4000115741</v>
      </c>
      <c r="D442" s="2" t="s">
        <v>17</v>
      </c>
      <c r="E442" s="2" t="n">
        <v>500</v>
      </c>
      <c r="F442" s="2" t="s">
        <v>18</v>
      </c>
      <c r="G442" s="2"/>
      <c r="H442" s="2" t="str">
        <f aca="false">VLOOKUP(B442,$N$2:$S$41,3,FALSE())</f>
        <v>Model-X</v>
      </c>
      <c r="I442" s="2" t="str">
        <f aca="false">VLOOKUP(B442,$N$2:$S$41,2,FALSE())</f>
        <v>Новосибирск, Гоголя</v>
      </c>
      <c r="J442" s="2" t="n">
        <f aca="false">IF(F442="success",1,0)</f>
        <v>1</v>
      </c>
      <c r="K442" s="2" t="n">
        <f aca="false">VLOOKUP(H442,Lookup!$A$4:$B$6,2,FALSE())</f>
        <v>18</v>
      </c>
    </row>
    <row r="443" customFormat="false" ht="15" hidden="false" customHeight="false" outlineLevel="0" collapsed="false">
      <c r="A443" s="2" t="s">
        <v>552</v>
      </c>
      <c r="B443" s="2" t="s">
        <v>93</v>
      </c>
      <c r="C443" s="3" t="n">
        <v>46287.4117361111</v>
      </c>
      <c r="D443" s="2" t="s">
        <v>46</v>
      </c>
      <c r="E443" s="2" t="n">
        <v>1500</v>
      </c>
      <c r="F443" s="2" t="s">
        <v>18</v>
      </c>
      <c r="G443" s="2"/>
      <c r="H443" s="2" t="str">
        <f aca="false">VLOOKUP(B443,$N$2:$S$41,3,FALSE())</f>
        <v>Model-Y</v>
      </c>
      <c r="I443" s="2" t="str">
        <f aca="false">VLOOKUP(B443,$N$2:$S$41,2,FALSE())</f>
        <v>Новосибирск, Ленина</v>
      </c>
      <c r="J443" s="2" t="n">
        <f aca="false">IF(F443="success",1,0)</f>
        <v>1</v>
      </c>
      <c r="K443" s="2" t="n">
        <f aca="false">VLOOKUP(H443,Lookup!$A$4:$B$6,2,FALSE())</f>
        <v>14</v>
      </c>
    </row>
    <row r="444" customFormat="false" ht="15" hidden="false" customHeight="false" outlineLevel="0" collapsed="false">
      <c r="A444" s="2" t="s">
        <v>553</v>
      </c>
      <c r="B444" s="2" t="s">
        <v>28</v>
      </c>
      <c r="C444" s="3" t="n">
        <v>46287.4146527778</v>
      </c>
      <c r="D444" s="2" t="s">
        <v>29</v>
      </c>
      <c r="E444" s="2" t="n">
        <v>0</v>
      </c>
      <c r="F444" s="2" t="s">
        <v>100</v>
      </c>
      <c r="G444" s="2"/>
      <c r="H444" s="2" t="str">
        <f aca="false">VLOOKUP(B444,$N$2:$S$41,3,FALSE())</f>
        <v>Model-X</v>
      </c>
      <c r="I444" s="2" t="str">
        <f aca="false">VLOOKUP(B444,$N$2:$S$41,2,FALSE())</f>
        <v>Новосибирск, Дуси Ковальчук</v>
      </c>
      <c r="J444" s="2" t="n">
        <f aca="false">IF(F444="success",1,0)</f>
        <v>0</v>
      </c>
      <c r="K444" s="2" t="n">
        <f aca="false">VLOOKUP(H444,Lookup!$A$4:$B$6,2,FALSE())</f>
        <v>18</v>
      </c>
    </row>
    <row r="445" customFormat="false" ht="15" hidden="false" customHeight="false" outlineLevel="0" collapsed="false">
      <c r="A445" s="2" t="s">
        <v>554</v>
      </c>
      <c r="B445" s="2" t="s">
        <v>96</v>
      </c>
      <c r="C445" s="3" t="n">
        <v>46287.4152083333</v>
      </c>
      <c r="D445" s="2" t="s">
        <v>46</v>
      </c>
      <c r="E445" s="2" t="n">
        <v>5000</v>
      </c>
      <c r="F445" s="2" t="s">
        <v>18</v>
      </c>
      <c r="G445" s="2"/>
      <c r="H445" s="2" t="str">
        <f aca="false">VLOOKUP(B445,$N$2:$S$41,3,FALSE())</f>
        <v>Model-X</v>
      </c>
      <c r="I445" s="2" t="str">
        <f aca="false">VLOOKUP(B445,$N$2:$S$41,2,FALSE())</f>
        <v>Нижний Новгород, Белинского</v>
      </c>
      <c r="J445" s="2" t="n">
        <f aca="false">IF(F445="success",1,0)</f>
        <v>1</v>
      </c>
      <c r="K445" s="2" t="n">
        <f aca="false">VLOOKUP(H445,Lookup!$A$4:$B$6,2,FALSE())</f>
        <v>18</v>
      </c>
    </row>
    <row r="446" customFormat="false" ht="15" hidden="false" customHeight="false" outlineLevel="0" collapsed="false">
      <c r="A446" s="2" t="s">
        <v>555</v>
      </c>
      <c r="B446" s="2" t="s">
        <v>34</v>
      </c>
      <c r="C446" s="3" t="n">
        <v>46287.4680555556</v>
      </c>
      <c r="D446" s="2" t="s">
        <v>17</v>
      </c>
      <c r="E446" s="2" t="n">
        <v>1000</v>
      </c>
      <c r="F446" s="2" t="s">
        <v>18</v>
      </c>
      <c r="G446" s="2"/>
      <c r="H446" s="2" t="str">
        <f aca="false">VLOOKUP(B446,$N$2:$S$41,3,FALSE())</f>
        <v>Model-X</v>
      </c>
      <c r="I446" s="2" t="str">
        <f aca="false">VLOOKUP(B446,$N$2:$S$41,2,FALSE())</f>
        <v>Москва, Профсоюзная</v>
      </c>
      <c r="J446" s="2" t="n">
        <f aca="false">IF(F446="success",1,0)</f>
        <v>1</v>
      </c>
      <c r="K446" s="2" t="n">
        <f aca="false">VLOOKUP(H446,Lookup!$A$4:$B$6,2,FALSE())</f>
        <v>18</v>
      </c>
    </row>
    <row r="447" customFormat="false" ht="15" hidden="false" customHeight="false" outlineLevel="0" collapsed="false">
      <c r="A447" s="2" t="s">
        <v>556</v>
      </c>
      <c r="B447" s="2" t="s">
        <v>58</v>
      </c>
      <c r="C447" s="3" t="n">
        <v>46287.4768287037</v>
      </c>
      <c r="D447" s="2" t="s">
        <v>17</v>
      </c>
      <c r="E447" s="2" t="n">
        <v>1500</v>
      </c>
      <c r="F447" s="2" t="s">
        <v>18</v>
      </c>
      <c r="G447" s="2"/>
      <c r="H447" s="2" t="str">
        <f aca="false">VLOOKUP(B447,$N$2:$S$41,3,FALSE())</f>
        <v>Model-Y</v>
      </c>
      <c r="I447" s="2" t="str">
        <f aca="false">VLOOKUP(B447,$N$2:$S$41,2,FALSE())</f>
        <v>Краснодар, Красная</v>
      </c>
      <c r="J447" s="2" t="n">
        <f aca="false">IF(F447="success",1,0)</f>
        <v>1</v>
      </c>
      <c r="K447" s="2" t="n">
        <f aca="false">VLOOKUP(H447,Lookup!$A$4:$B$6,2,FALSE())</f>
        <v>14</v>
      </c>
    </row>
    <row r="448" customFormat="false" ht="15" hidden="false" customHeight="false" outlineLevel="0" collapsed="false">
      <c r="A448" s="2" t="s">
        <v>557</v>
      </c>
      <c r="B448" s="2" t="s">
        <v>78</v>
      </c>
      <c r="C448" s="3" t="n">
        <v>46287.4768981482</v>
      </c>
      <c r="D448" s="2" t="s">
        <v>17</v>
      </c>
      <c r="E448" s="2" t="n">
        <v>15000</v>
      </c>
      <c r="F448" s="2" t="s">
        <v>18</v>
      </c>
      <c r="G448" s="2"/>
      <c r="H448" s="2" t="str">
        <f aca="false">VLOOKUP(B448,$N$2:$S$41,3,FALSE())</f>
        <v>Model-Z</v>
      </c>
      <c r="I448" s="2" t="str">
        <f aca="false">VLOOKUP(B448,$N$2:$S$41,2,FALSE())</f>
        <v>Екатеринбург, Ленина</v>
      </c>
      <c r="J448" s="2" t="n">
        <f aca="false">IF(F448="success",1,0)</f>
        <v>1</v>
      </c>
      <c r="K448" s="2" t="n">
        <f aca="false">VLOOKUP(H448,Lookup!$A$4:$B$6,2,FALSE())</f>
        <v>16</v>
      </c>
    </row>
    <row r="449" customFormat="false" ht="15" hidden="false" customHeight="false" outlineLevel="0" collapsed="false">
      <c r="A449" s="2" t="s">
        <v>558</v>
      </c>
      <c r="B449" s="2" t="s">
        <v>118</v>
      </c>
      <c r="C449" s="3" t="n">
        <v>46287.4955787037</v>
      </c>
      <c r="D449" s="2" t="s">
        <v>29</v>
      </c>
      <c r="E449" s="2" t="n">
        <v>0</v>
      </c>
      <c r="F449" s="2" t="s">
        <v>18</v>
      </c>
      <c r="G449" s="2"/>
      <c r="H449" s="2" t="str">
        <f aca="false">VLOOKUP(B449,$N$2:$S$41,3,FALSE())</f>
        <v>Model-X</v>
      </c>
      <c r="I449" s="2" t="str">
        <f aca="false">VLOOKUP(B449,$N$2:$S$41,2,FALSE())</f>
        <v>Самара, Молодогвардейская</v>
      </c>
      <c r="J449" s="2" t="n">
        <f aca="false">IF(F449="success",1,0)</f>
        <v>1</v>
      </c>
      <c r="K449" s="2" t="n">
        <f aca="false">VLOOKUP(H449,Lookup!$A$4:$B$6,2,FALSE())</f>
        <v>18</v>
      </c>
    </row>
    <row r="450" customFormat="false" ht="15" hidden="false" customHeight="false" outlineLevel="0" collapsed="false">
      <c r="A450" s="2" t="s">
        <v>559</v>
      </c>
      <c r="B450" s="2" t="s">
        <v>118</v>
      </c>
      <c r="C450" s="3" t="n">
        <v>46287.5096180556</v>
      </c>
      <c r="D450" s="2" t="s">
        <v>17</v>
      </c>
      <c r="E450" s="2" t="n">
        <v>5000</v>
      </c>
      <c r="F450" s="2" t="s">
        <v>18</v>
      </c>
      <c r="G450" s="2"/>
      <c r="H450" s="2" t="str">
        <f aca="false">VLOOKUP(B450,$N$2:$S$41,3,FALSE())</f>
        <v>Model-X</v>
      </c>
      <c r="I450" s="2" t="str">
        <f aca="false">VLOOKUP(B450,$N$2:$S$41,2,FALSE())</f>
        <v>Самара, Молодогвардейская</v>
      </c>
      <c r="J450" s="2" t="n">
        <f aca="false">IF(F450="success",1,0)</f>
        <v>1</v>
      </c>
      <c r="K450" s="2" t="n">
        <f aca="false">VLOOKUP(H450,Lookup!$A$4:$B$6,2,FALSE())</f>
        <v>18</v>
      </c>
    </row>
    <row r="451" customFormat="false" ht="15" hidden="false" customHeight="false" outlineLevel="0" collapsed="false">
      <c r="A451" s="2" t="s">
        <v>560</v>
      </c>
      <c r="B451" s="2" t="s">
        <v>30</v>
      </c>
      <c r="C451" s="3" t="n">
        <v>46287.5579513889</v>
      </c>
      <c r="D451" s="2" t="s">
        <v>17</v>
      </c>
      <c r="E451" s="2" t="n">
        <v>1000</v>
      </c>
      <c r="F451" s="2" t="s">
        <v>18</v>
      </c>
      <c r="G451" s="2"/>
      <c r="H451" s="2" t="str">
        <f aca="false">VLOOKUP(B451,$N$2:$S$41,3,FALSE())</f>
        <v>Model-Z</v>
      </c>
      <c r="I451" s="2" t="str">
        <f aca="false">VLOOKUP(B451,$N$2:$S$41,2,FALSE())</f>
        <v>Москва, Новослободская</v>
      </c>
      <c r="J451" s="2" t="n">
        <f aca="false">IF(F451="success",1,0)</f>
        <v>1</v>
      </c>
      <c r="K451" s="2" t="n">
        <f aca="false">VLOOKUP(H451,Lookup!$A$4:$B$6,2,FALSE())</f>
        <v>16</v>
      </c>
    </row>
    <row r="452" customFormat="false" ht="15" hidden="false" customHeight="false" outlineLevel="0" collapsed="false">
      <c r="A452" s="2" t="s">
        <v>561</v>
      </c>
      <c r="B452" s="2" t="s">
        <v>103</v>
      </c>
      <c r="C452" s="3" t="n">
        <v>46287.5855902778</v>
      </c>
      <c r="D452" s="2" t="s">
        <v>46</v>
      </c>
      <c r="E452" s="2" t="n">
        <v>500</v>
      </c>
      <c r="F452" s="2" t="s">
        <v>18</v>
      </c>
      <c r="G452" s="2"/>
      <c r="H452" s="2" t="str">
        <f aca="false">VLOOKUP(B452,$N$2:$S$41,3,FALSE())</f>
        <v>Model-Y</v>
      </c>
      <c r="I452" s="2" t="str">
        <f aca="false">VLOOKUP(B452,$N$2:$S$41,2,FALSE())</f>
        <v>Нижний Новгород, Большая Покровская</v>
      </c>
      <c r="J452" s="2" t="n">
        <f aca="false">IF(F452="success",1,0)</f>
        <v>1</v>
      </c>
      <c r="K452" s="2" t="n">
        <f aca="false">VLOOKUP(H452,Lookup!$A$4:$B$6,2,FALSE())</f>
        <v>14</v>
      </c>
    </row>
    <row r="453" customFormat="false" ht="15" hidden="false" customHeight="false" outlineLevel="0" collapsed="false">
      <c r="A453" s="2" t="s">
        <v>562</v>
      </c>
      <c r="B453" s="2" t="s">
        <v>47</v>
      </c>
      <c r="C453" s="3" t="n">
        <v>46287.6055324074</v>
      </c>
      <c r="D453" s="2" t="s">
        <v>17</v>
      </c>
      <c r="E453" s="2" t="n">
        <v>7000</v>
      </c>
      <c r="F453" s="2" t="s">
        <v>18</v>
      </c>
      <c r="G453" s="2"/>
      <c r="H453" s="2" t="str">
        <f aca="false">VLOOKUP(B453,$N$2:$S$41,3,FALSE())</f>
        <v>Model-X</v>
      </c>
      <c r="I453" s="2" t="str">
        <f aca="false">VLOOKUP(B453,$N$2:$S$41,2,FALSE())</f>
        <v>Санкт-Петербург, Невский пр-т</v>
      </c>
      <c r="J453" s="2" t="n">
        <f aca="false">IF(F453="success",1,0)</f>
        <v>1</v>
      </c>
      <c r="K453" s="2" t="n">
        <f aca="false">VLOOKUP(H453,Lookup!$A$4:$B$6,2,FALSE())</f>
        <v>18</v>
      </c>
    </row>
    <row r="454" customFormat="false" ht="15" hidden="false" customHeight="false" outlineLevel="0" collapsed="false">
      <c r="A454" s="2" t="s">
        <v>563</v>
      </c>
      <c r="B454" s="2" t="s">
        <v>69</v>
      </c>
      <c r="C454" s="3" t="n">
        <v>46287.6079976852</v>
      </c>
      <c r="D454" s="2" t="s">
        <v>17</v>
      </c>
      <c r="E454" s="2" t="n">
        <v>1500</v>
      </c>
      <c r="F454" s="2" t="s">
        <v>18</v>
      </c>
      <c r="G454" s="2"/>
      <c r="H454" s="2" t="str">
        <f aca="false">VLOOKUP(B454,$N$2:$S$41,3,FALSE())</f>
        <v>Model-X</v>
      </c>
      <c r="I454" s="2" t="str">
        <f aca="false">VLOOKUP(B454,$N$2:$S$41,2,FALSE())</f>
        <v>Казань, Пушкина</v>
      </c>
      <c r="J454" s="2" t="n">
        <f aca="false">IF(F454="success",1,0)</f>
        <v>1</v>
      </c>
      <c r="K454" s="2" t="n">
        <f aca="false">VLOOKUP(H454,Lookup!$A$4:$B$6,2,FALSE())</f>
        <v>18</v>
      </c>
    </row>
    <row r="455" customFormat="false" ht="15" hidden="false" customHeight="false" outlineLevel="0" collapsed="false">
      <c r="A455" s="2" t="s">
        <v>564</v>
      </c>
      <c r="B455" s="2" t="s">
        <v>58</v>
      </c>
      <c r="C455" s="3" t="n">
        <v>46287.6164467593</v>
      </c>
      <c r="D455" s="2" t="s">
        <v>17</v>
      </c>
      <c r="E455" s="2" t="n">
        <v>2000</v>
      </c>
      <c r="F455" s="2" t="s">
        <v>18</v>
      </c>
      <c r="G455" s="2"/>
      <c r="H455" s="2" t="str">
        <f aca="false">VLOOKUP(B455,$N$2:$S$41,3,FALSE())</f>
        <v>Model-Y</v>
      </c>
      <c r="I455" s="2" t="str">
        <f aca="false">VLOOKUP(B455,$N$2:$S$41,2,FALSE())</f>
        <v>Краснодар, Красная</v>
      </c>
      <c r="J455" s="2" t="n">
        <f aca="false">IF(F455="success",1,0)</f>
        <v>1</v>
      </c>
      <c r="K455" s="2" t="n">
        <f aca="false">VLOOKUP(H455,Lookup!$A$4:$B$6,2,FALSE())</f>
        <v>14</v>
      </c>
    </row>
    <row r="456" customFormat="false" ht="15" hidden="false" customHeight="false" outlineLevel="0" collapsed="false">
      <c r="A456" s="2" t="s">
        <v>565</v>
      </c>
      <c r="B456" s="2" t="s">
        <v>35</v>
      </c>
      <c r="C456" s="3" t="n">
        <v>46287.6206018519</v>
      </c>
      <c r="D456" s="2" t="s">
        <v>17</v>
      </c>
      <c r="E456" s="2" t="n">
        <v>7000</v>
      </c>
      <c r="F456" s="2" t="s">
        <v>18</v>
      </c>
      <c r="G456" s="2"/>
      <c r="H456" s="2" t="str">
        <f aca="false">VLOOKUP(B456,$N$2:$S$41,3,FALSE())</f>
        <v>Model-X</v>
      </c>
      <c r="I456" s="2" t="str">
        <f aca="false">VLOOKUP(B456,$N$2:$S$41,2,FALSE())</f>
        <v>Москва, Ленинградский пр-т</v>
      </c>
      <c r="J456" s="2" t="n">
        <f aca="false">IF(F456="success",1,0)</f>
        <v>1</v>
      </c>
      <c r="K456" s="2" t="n">
        <f aca="false">VLOOKUP(H456,Lookup!$A$4:$B$6,2,FALSE())</f>
        <v>18</v>
      </c>
    </row>
    <row r="457" customFormat="false" ht="15" hidden="false" customHeight="false" outlineLevel="0" collapsed="false">
      <c r="A457" s="2" t="s">
        <v>566</v>
      </c>
      <c r="B457" s="2" t="s">
        <v>84</v>
      </c>
      <c r="C457" s="3" t="n">
        <v>46287.6292592593</v>
      </c>
      <c r="D457" s="2" t="s">
        <v>29</v>
      </c>
      <c r="E457" s="2" t="n">
        <v>0</v>
      </c>
      <c r="F457" s="2" t="s">
        <v>18</v>
      </c>
      <c r="G457" s="2"/>
      <c r="H457" s="2" t="str">
        <f aca="false">VLOOKUP(B457,$N$2:$S$41,3,FALSE())</f>
        <v>Model-X</v>
      </c>
      <c r="I457" s="2" t="str">
        <f aca="false">VLOOKUP(B457,$N$2:$S$41,2,FALSE())</f>
        <v>Новосибирск, Красный пр-т</v>
      </c>
      <c r="J457" s="2" t="n">
        <f aca="false">IF(F457="success",1,0)</f>
        <v>1</v>
      </c>
      <c r="K457" s="2" t="n">
        <f aca="false">VLOOKUP(H457,Lookup!$A$4:$B$6,2,FALSE())</f>
        <v>18</v>
      </c>
    </row>
    <row r="458" customFormat="false" ht="15" hidden="false" customHeight="false" outlineLevel="0" collapsed="false">
      <c r="A458" s="2" t="s">
        <v>567</v>
      </c>
      <c r="B458" s="2" t="s">
        <v>93</v>
      </c>
      <c r="C458" s="3" t="n">
        <v>46287.6686458333</v>
      </c>
      <c r="D458" s="2" t="s">
        <v>17</v>
      </c>
      <c r="E458" s="2" t="n">
        <v>5000</v>
      </c>
      <c r="F458" s="2" t="s">
        <v>18</v>
      </c>
      <c r="G458" s="2"/>
      <c r="H458" s="2" t="str">
        <f aca="false">VLOOKUP(B458,$N$2:$S$41,3,FALSE())</f>
        <v>Model-Y</v>
      </c>
      <c r="I458" s="2" t="str">
        <f aca="false">VLOOKUP(B458,$N$2:$S$41,2,FALSE())</f>
        <v>Новосибирск, Ленина</v>
      </c>
      <c r="J458" s="2" t="n">
        <f aca="false">IF(F458="success",1,0)</f>
        <v>1</v>
      </c>
      <c r="K458" s="2" t="n">
        <f aca="false">VLOOKUP(H458,Lookup!$A$4:$B$6,2,FALSE())</f>
        <v>14</v>
      </c>
    </row>
    <row r="459" customFormat="false" ht="15" hidden="false" customHeight="false" outlineLevel="0" collapsed="false">
      <c r="A459" s="2" t="s">
        <v>568</v>
      </c>
      <c r="B459" s="2" t="s">
        <v>97</v>
      </c>
      <c r="C459" s="3" t="n">
        <v>46287.7503587963</v>
      </c>
      <c r="D459" s="2" t="s">
        <v>65</v>
      </c>
      <c r="E459" s="2" t="n">
        <v>1000</v>
      </c>
      <c r="F459" s="2" t="s">
        <v>18</v>
      </c>
      <c r="G459" s="2"/>
      <c r="H459" s="2" t="str">
        <f aca="false">VLOOKUP(B459,$N$2:$S$41,3,FALSE())</f>
        <v>Model-X</v>
      </c>
      <c r="I459" s="2" t="str">
        <f aca="false">VLOOKUP(B459,$N$2:$S$41,2,FALSE())</f>
        <v>Новосибирск, Гоголя</v>
      </c>
      <c r="J459" s="2" t="n">
        <f aca="false">IF(F459="success",1,0)</f>
        <v>1</v>
      </c>
      <c r="K459" s="2" t="n">
        <f aca="false">VLOOKUP(H459,Lookup!$A$4:$B$6,2,FALSE())</f>
        <v>18</v>
      </c>
    </row>
    <row r="460" customFormat="false" ht="15" hidden="false" customHeight="false" outlineLevel="0" collapsed="false">
      <c r="A460" s="2" t="s">
        <v>569</v>
      </c>
      <c r="B460" s="2" t="s">
        <v>53</v>
      </c>
      <c r="C460" s="3" t="n">
        <v>46287.8107638889</v>
      </c>
      <c r="D460" s="2" t="s">
        <v>17</v>
      </c>
      <c r="E460" s="2" t="n">
        <v>1000</v>
      </c>
      <c r="F460" s="2" t="s">
        <v>18</v>
      </c>
      <c r="G460" s="2"/>
      <c r="H460" s="2" t="str">
        <f aca="false">VLOOKUP(B460,$N$2:$S$41,3,FALSE())</f>
        <v>Model-Z</v>
      </c>
      <c r="I460" s="2" t="str">
        <f aca="false">VLOOKUP(B460,$N$2:$S$41,2,FALSE())</f>
        <v>Ростов-на-Дону, Будённовский</v>
      </c>
      <c r="J460" s="2" t="n">
        <f aca="false">IF(F460="success",1,0)</f>
        <v>1</v>
      </c>
      <c r="K460" s="2" t="n">
        <f aca="false">VLOOKUP(H460,Lookup!$A$4:$B$6,2,FALSE())</f>
        <v>16</v>
      </c>
    </row>
    <row r="461" customFormat="false" ht="15" hidden="false" customHeight="false" outlineLevel="0" collapsed="false">
      <c r="A461" s="2" t="s">
        <v>570</v>
      </c>
      <c r="B461" s="2" t="s">
        <v>125</v>
      </c>
      <c r="C461" s="3" t="n">
        <v>46287.8259490741</v>
      </c>
      <c r="D461" s="2" t="s">
        <v>17</v>
      </c>
      <c r="E461" s="2" t="n">
        <v>3000</v>
      </c>
      <c r="F461" s="2" t="s">
        <v>76</v>
      </c>
      <c r="G461" s="2" t="s">
        <v>160</v>
      </c>
      <c r="H461" s="2" t="str">
        <f aca="false">VLOOKUP(B461,$N$2:$S$41,3,FALSE())</f>
        <v>Model-X</v>
      </c>
      <c r="I461" s="2" t="str">
        <f aca="false">VLOOKUP(B461,$N$2:$S$41,2,FALSE())</f>
        <v>Ростов-на-Дону, Пушкинская</v>
      </c>
      <c r="J461" s="2" t="n">
        <f aca="false">IF(F461="success",1,0)</f>
        <v>0</v>
      </c>
      <c r="K461" s="2" t="n">
        <f aca="false">VLOOKUP(H461,Lookup!$A$4:$B$6,2,FALSE())</f>
        <v>18</v>
      </c>
    </row>
    <row r="462" customFormat="false" ht="15" hidden="false" customHeight="false" outlineLevel="0" collapsed="false">
      <c r="A462" s="2" t="s">
        <v>571</v>
      </c>
      <c r="B462" s="2" t="s">
        <v>69</v>
      </c>
      <c r="C462" s="3" t="n">
        <v>46287.8415740741</v>
      </c>
      <c r="D462" s="2" t="s">
        <v>17</v>
      </c>
      <c r="E462" s="2" t="n">
        <v>1500</v>
      </c>
      <c r="F462" s="2" t="s">
        <v>18</v>
      </c>
      <c r="G462" s="2"/>
      <c r="H462" s="2" t="str">
        <f aca="false">VLOOKUP(B462,$N$2:$S$41,3,FALSE())</f>
        <v>Model-X</v>
      </c>
      <c r="I462" s="2" t="str">
        <f aca="false">VLOOKUP(B462,$N$2:$S$41,2,FALSE())</f>
        <v>Казань, Пушкина</v>
      </c>
      <c r="J462" s="2" t="n">
        <f aca="false">IF(F462="success",1,0)</f>
        <v>1</v>
      </c>
      <c r="K462" s="2" t="n">
        <f aca="false">VLOOKUP(H462,Lookup!$A$4:$B$6,2,FALSE())</f>
        <v>18</v>
      </c>
    </row>
    <row r="463" customFormat="false" ht="15" hidden="false" customHeight="false" outlineLevel="0" collapsed="false">
      <c r="A463" s="2" t="s">
        <v>572</v>
      </c>
      <c r="B463" s="2" t="s">
        <v>34</v>
      </c>
      <c r="C463" s="3" t="n">
        <v>46287.9204861111</v>
      </c>
      <c r="D463" s="2" t="s">
        <v>46</v>
      </c>
      <c r="E463" s="2" t="n">
        <v>3000</v>
      </c>
      <c r="F463" s="2" t="s">
        <v>18</v>
      </c>
      <c r="G463" s="2"/>
      <c r="H463" s="2" t="str">
        <f aca="false">VLOOKUP(B463,$N$2:$S$41,3,FALSE())</f>
        <v>Model-X</v>
      </c>
      <c r="I463" s="2" t="str">
        <f aca="false">VLOOKUP(B463,$N$2:$S$41,2,FALSE())</f>
        <v>Москва, Профсоюзная</v>
      </c>
      <c r="J463" s="2" t="n">
        <f aca="false">IF(F463="success",1,0)</f>
        <v>1</v>
      </c>
      <c r="K463" s="2" t="n">
        <f aca="false">VLOOKUP(H463,Lookup!$A$4:$B$6,2,FALSE())</f>
        <v>18</v>
      </c>
    </row>
    <row r="464" customFormat="false" ht="15" hidden="false" customHeight="false" outlineLevel="0" collapsed="false">
      <c r="A464" s="2" t="s">
        <v>573</v>
      </c>
      <c r="B464" s="2" t="s">
        <v>34</v>
      </c>
      <c r="C464" s="3" t="n">
        <v>46287.9215393519</v>
      </c>
      <c r="D464" s="2" t="s">
        <v>65</v>
      </c>
      <c r="E464" s="2" t="n">
        <v>10000</v>
      </c>
      <c r="F464" s="2" t="s">
        <v>76</v>
      </c>
      <c r="G464" s="2" t="s">
        <v>160</v>
      </c>
      <c r="H464" s="2" t="str">
        <f aca="false">VLOOKUP(B464,$N$2:$S$41,3,FALSE())</f>
        <v>Model-X</v>
      </c>
      <c r="I464" s="2" t="str">
        <f aca="false">VLOOKUP(B464,$N$2:$S$41,2,FALSE())</f>
        <v>Москва, Профсоюзная</v>
      </c>
      <c r="J464" s="2" t="n">
        <f aca="false">IF(F464="success",1,0)</f>
        <v>0</v>
      </c>
      <c r="K464" s="2" t="n">
        <f aca="false">VLOOKUP(H464,Lookup!$A$4:$B$6,2,FALSE())</f>
        <v>18</v>
      </c>
    </row>
    <row r="465" customFormat="false" ht="15" hidden="false" customHeight="false" outlineLevel="0" collapsed="false">
      <c r="A465" s="2" t="s">
        <v>574</v>
      </c>
      <c r="B465" s="2" t="s">
        <v>114</v>
      </c>
      <c r="C465" s="3" t="n">
        <v>46287.9453703704</v>
      </c>
      <c r="D465" s="2" t="s">
        <v>65</v>
      </c>
      <c r="E465" s="2" t="n">
        <v>15000</v>
      </c>
      <c r="F465" s="2" t="s">
        <v>18</v>
      </c>
      <c r="G465" s="2"/>
      <c r="H465" s="2" t="str">
        <f aca="false">VLOOKUP(B465,$N$2:$S$41,3,FALSE())</f>
        <v>Model-Z</v>
      </c>
      <c r="I465" s="2" t="str">
        <f aca="false">VLOOKUP(B465,$N$2:$S$41,2,FALSE())</f>
        <v>Самара, Куйбышева</v>
      </c>
      <c r="J465" s="2" t="n">
        <f aca="false">IF(F465="success",1,0)</f>
        <v>1</v>
      </c>
      <c r="K465" s="2" t="n">
        <f aca="false">VLOOKUP(H465,Lookup!$A$4:$B$6,2,FALSE())</f>
        <v>16</v>
      </c>
    </row>
    <row r="466" customFormat="false" ht="15" hidden="false" customHeight="false" outlineLevel="0" collapsed="false">
      <c r="A466" s="2" t="s">
        <v>575</v>
      </c>
      <c r="B466" s="2" t="s">
        <v>30</v>
      </c>
      <c r="C466" s="3" t="n">
        <v>46287.9520486111</v>
      </c>
      <c r="D466" s="2" t="s">
        <v>65</v>
      </c>
      <c r="E466" s="2" t="n">
        <v>15000</v>
      </c>
      <c r="F466" s="2" t="s">
        <v>18</v>
      </c>
      <c r="G466" s="2"/>
      <c r="H466" s="2" t="str">
        <f aca="false">VLOOKUP(B466,$N$2:$S$41,3,FALSE())</f>
        <v>Model-Z</v>
      </c>
      <c r="I466" s="2" t="str">
        <f aca="false">VLOOKUP(B466,$N$2:$S$41,2,FALSE())</f>
        <v>Москва, Новослободская</v>
      </c>
      <c r="J466" s="2" t="n">
        <f aca="false">IF(F466="success",1,0)</f>
        <v>1</v>
      </c>
      <c r="K466" s="2" t="n">
        <f aca="false">VLOOKUP(H466,Lookup!$A$4:$B$6,2,FALSE())</f>
        <v>16</v>
      </c>
    </row>
    <row r="467" customFormat="false" ht="15" hidden="false" customHeight="false" outlineLevel="0" collapsed="false">
      <c r="A467" s="2" t="s">
        <v>576</v>
      </c>
      <c r="B467" s="2" t="s">
        <v>139</v>
      </c>
      <c r="C467" s="3" t="n">
        <v>46288.3125810185</v>
      </c>
      <c r="D467" s="2" t="s">
        <v>17</v>
      </c>
      <c r="E467" s="2" t="n">
        <v>3000</v>
      </c>
      <c r="F467" s="2" t="s">
        <v>18</v>
      </c>
      <c r="G467" s="2"/>
      <c r="H467" s="2" t="str">
        <f aca="false">VLOOKUP(B467,$N$2:$S$41,3,FALSE())</f>
        <v>Model-X</v>
      </c>
      <c r="I467" s="2" t="str">
        <f aca="false">VLOOKUP(B467,$N$2:$S$41,2,FALSE())</f>
        <v>Воронеж, Революции</v>
      </c>
      <c r="J467" s="2" t="n">
        <f aca="false">IF(F467="success",1,0)</f>
        <v>1</v>
      </c>
      <c r="K467" s="2" t="n">
        <f aca="false">VLOOKUP(H467,Lookup!$A$4:$B$6,2,FALSE())</f>
        <v>18</v>
      </c>
    </row>
    <row r="468" customFormat="false" ht="15" hidden="false" customHeight="false" outlineLevel="0" collapsed="false">
      <c r="A468" s="2" t="s">
        <v>577</v>
      </c>
      <c r="B468" s="2" t="s">
        <v>59</v>
      </c>
      <c r="C468" s="3" t="n">
        <v>46288.3188541667</v>
      </c>
      <c r="D468" s="2" t="s">
        <v>65</v>
      </c>
      <c r="E468" s="2" t="n">
        <v>500</v>
      </c>
      <c r="F468" s="2" t="s">
        <v>18</v>
      </c>
      <c r="G468" s="2"/>
      <c r="H468" s="2" t="str">
        <f aca="false">VLOOKUP(B468,$N$2:$S$41,3,FALSE())</f>
        <v>Model-X</v>
      </c>
      <c r="I468" s="2" t="str">
        <f aca="false">VLOOKUP(B468,$N$2:$S$41,2,FALSE())</f>
        <v>Санкт-Петербург, Большой пр-т</v>
      </c>
      <c r="J468" s="2" t="n">
        <f aca="false">IF(F468="success",1,0)</f>
        <v>1</v>
      </c>
      <c r="K468" s="2" t="n">
        <f aca="false">VLOOKUP(H468,Lookup!$A$4:$B$6,2,FALSE())</f>
        <v>18</v>
      </c>
    </row>
    <row r="469" customFormat="false" ht="15" hidden="false" customHeight="false" outlineLevel="0" collapsed="false">
      <c r="A469" s="2" t="s">
        <v>578</v>
      </c>
      <c r="B469" s="2" t="s">
        <v>73</v>
      </c>
      <c r="C469" s="3" t="n">
        <v>46288.3292361111</v>
      </c>
      <c r="D469" s="2" t="s">
        <v>17</v>
      </c>
      <c r="E469" s="2" t="n">
        <v>15000</v>
      </c>
      <c r="F469" s="2" t="s">
        <v>18</v>
      </c>
      <c r="G469" s="2"/>
      <c r="H469" s="2" t="str">
        <f aca="false">VLOOKUP(B469,$N$2:$S$41,3,FALSE())</f>
        <v>Model-Y</v>
      </c>
      <c r="I469" s="2" t="str">
        <f aca="false">VLOOKUP(B469,$N$2:$S$41,2,FALSE())</f>
        <v>Казань, Чистопольская</v>
      </c>
      <c r="J469" s="2" t="n">
        <f aca="false">IF(F469="success",1,0)</f>
        <v>1</v>
      </c>
      <c r="K469" s="2" t="n">
        <f aca="false">VLOOKUP(H469,Lookup!$A$4:$B$6,2,FALSE())</f>
        <v>14</v>
      </c>
    </row>
    <row r="470" customFormat="false" ht="15" hidden="false" customHeight="false" outlineLevel="0" collapsed="false">
      <c r="A470" s="2" t="s">
        <v>579</v>
      </c>
      <c r="B470" s="2" t="s">
        <v>81</v>
      </c>
      <c r="C470" s="3" t="n">
        <v>46288.4313657407</v>
      </c>
      <c r="D470" s="2" t="s">
        <v>46</v>
      </c>
      <c r="E470" s="2" t="n">
        <v>7000</v>
      </c>
      <c r="F470" s="2" t="s">
        <v>18</v>
      </c>
      <c r="G470" s="2"/>
      <c r="H470" s="2" t="str">
        <f aca="false">VLOOKUP(B470,$N$2:$S$41,3,FALSE())</f>
        <v>Model-X</v>
      </c>
      <c r="I470" s="2" t="str">
        <f aca="false">VLOOKUP(B470,$N$2:$S$41,2,FALSE())</f>
        <v>Екатеринбург, Малышева</v>
      </c>
      <c r="J470" s="2" t="n">
        <f aca="false">IF(F470="success",1,0)</f>
        <v>1</v>
      </c>
      <c r="K470" s="2" t="n">
        <f aca="false">VLOOKUP(H470,Lookup!$A$4:$B$6,2,FALSE())</f>
        <v>18</v>
      </c>
    </row>
    <row r="471" customFormat="false" ht="15" hidden="false" customHeight="false" outlineLevel="0" collapsed="false">
      <c r="A471" s="2" t="s">
        <v>580</v>
      </c>
      <c r="B471" s="2" t="s">
        <v>16</v>
      </c>
      <c r="C471" s="3" t="n">
        <v>46288.4692939815</v>
      </c>
      <c r="D471" s="2" t="s">
        <v>17</v>
      </c>
      <c r="E471" s="2" t="n">
        <v>2000</v>
      </c>
      <c r="F471" s="2" t="s">
        <v>18</v>
      </c>
      <c r="G471" s="2"/>
      <c r="H471" s="2" t="str">
        <f aca="false">VLOOKUP(B471,$N$2:$S$41,3,FALSE())</f>
        <v>Model-X</v>
      </c>
      <c r="I471" s="2" t="str">
        <f aca="false">VLOOKUP(B471,$N$2:$S$41,2,FALSE())</f>
        <v>Москва, Тверская</v>
      </c>
      <c r="J471" s="2" t="n">
        <f aca="false">IF(F471="success",1,0)</f>
        <v>1</v>
      </c>
      <c r="K471" s="2" t="n">
        <f aca="false">VLOOKUP(H471,Lookup!$A$4:$B$6,2,FALSE())</f>
        <v>18</v>
      </c>
    </row>
    <row r="472" customFormat="false" ht="15" hidden="false" customHeight="false" outlineLevel="0" collapsed="false">
      <c r="A472" s="2" t="s">
        <v>581</v>
      </c>
      <c r="B472" s="2" t="s">
        <v>47</v>
      </c>
      <c r="C472" s="3" t="n">
        <v>46288.477025463</v>
      </c>
      <c r="D472" s="2" t="s">
        <v>46</v>
      </c>
      <c r="E472" s="2" t="n">
        <v>3000</v>
      </c>
      <c r="F472" s="2" t="s">
        <v>18</v>
      </c>
      <c r="G472" s="2"/>
      <c r="H472" s="2" t="str">
        <f aca="false">VLOOKUP(B472,$N$2:$S$41,3,FALSE())</f>
        <v>Model-X</v>
      </c>
      <c r="I472" s="2" t="str">
        <f aca="false">VLOOKUP(B472,$N$2:$S$41,2,FALSE())</f>
        <v>Санкт-Петербург, Невский пр-т</v>
      </c>
      <c r="J472" s="2" t="n">
        <f aca="false">IF(F472="success",1,0)</f>
        <v>1</v>
      </c>
      <c r="K472" s="2" t="n">
        <f aca="false">VLOOKUP(H472,Lookup!$A$4:$B$6,2,FALSE())</f>
        <v>18</v>
      </c>
    </row>
    <row r="473" customFormat="false" ht="15" hidden="false" customHeight="false" outlineLevel="0" collapsed="false">
      <c r="A473" s="2" t="s">
        <v>582</v>
      </c>
      <c r="B473" s="2" t="s">
        <v>81</v>
      </c>
      <c r="C473" s="3" t="n">
        <v>46288.5005439815</v>
      </c>
      <c r="D473" s="2" t="s">
        <v>17</v>
      </c>
      <c r="E473" s="2" t="n">
        <v>15000</v>
      </c>
      <c r="F473" s="2" t="s">
        <v>18</v>
      </c>
      <c r="G473" s="2"/>
      <c r="H473" s="2" t="str">
        <f aca="false">VLOOKUP(B473,$N$2:$S$41,3,FALSE())</f>
        <v>Model-X</v>
      </c>
      <c r="I473" s="2" t="str">
        <f aca="false">VLOOKUP(B473,$N$2:$S$41,2,FALSE())</f>
        <v>Екатеринбург, Малышева</v>
      </c>
      <c r="J473" s="2" t="n">
        <f aca="false">IF(F473="success",1,0)</f>
        <v>1</v>
      </c>
      <c r="K473" s="2" t="n">
        <f aca="false">VLOOKUP(H473,Lookup!$A$4:$B$6,2,FALSE())</f>
        <v>18</v>
      </c>
    </row>
    <row r="474" customFormat="false" ht="15" hidden="false" customHeight="false" outlineLevel="0" collapsed="false">
      <c r="A474" s="2" t="s">
        <v>583</v>
      </c>
      <c r="B474" s="2" t="s">
        <v>125</v>
      </c>
      <c r="C474" s="3" t="n">
        <v>46288.5382175926</v>
      </c>
      <c r="D474" s="2" t="s">
        <v>17</v>
      </c>
      <c r="E474" s="2" t="n">
        <v>500</v>
      </c>
      <c r="F474" s="2" t="s">
        <v>100</v>
      </c>
      <c r="G474" s="2"/>
      <c r="H474" s="2" t="str">
        <f aca="false">VLOOKUP(B474,$N$2:$S$41,3,FALSE())</f>
        <v>Model-X</v>
      </c>
      <c r="I474" s="2" t="str">
        <f aca="false">VLOOKUP(B474,$N$2:$S$41,2,FALSE())</f>
        <v>Ростов-на-Дону, Пушкинская</v>
      </c>
      <c r="J474" s="2" t="n">
        <f aca="false">IF(F474="success",1,0)</f>
        <v>0</v>
      </c>
      <c r="K474" s="2" t="n">
        <f aca="false">VLOOKUP(H474,Lookup!$A$4:$B$6,2,FALSE())</f>
        <v>18</v>
      </c>
    </row>
    <row r="475" customFormat="false" ht="15" hidden="false" customHeight="false" outlineLevel="0" collapsed="false">
      <c r="A475" s="2" t="s">
        <v>584</v>
      </c>
      <c r="B475" s="2" t="s">
        <v>38</v>
      </c>
      <c r="C475" s="3" t="n">
        <v>46288.5436342593</v>
      </c>
      <c r="D475" s="2" t="s">
        <v>46</v>
      </c>
      <c r="E475" s="2" t="n">
        <v>3000</v>
      </c>
      <c r="F475" s="2" t="s">
        <v>18</v>
      </c>
      <c r="G475" s="2"/>
      <c r="H475" s="2" t="str">
        <f aca="false">VLOOKUP(B475,$N$2:$S$41,3,FALSE())</f>
        <v>Model-Z</v>
      </c>
      <c r="I475" s="2" t="str">
        <f aca="false">VLOOKUP(B475,$N$2:$S$41,2,FALSE())</f>
        <v>Казань, Кремлёвская</v>
      </c>
      <c r="J475" s="2" t="n">
        <f aca="false">IF(F475="success",1,0)</f>
        <v>1</v>
      </c>
      <c r="K475" s="2" t="n">
        <f aca="false">VLOOKUP(H475,Lookup!$A$4:$B$6,2,FALSE())</f>
        <v>16</v>
      </c>
    </row>
    <row r="476" customFormat="false" ht="15" hidden="false" customHeight="false" outlineLevel="0" collapsed="false">
      <c r="A476" s="2" t="s">
        <v>585</v>
      </c>
      <c r="B476" s="2" t="s">
        <v>38</v>
      </c>
      <c r="C476" s="3" t="n">
        <v>46288.5551967593</v>
      </c>
      <c r="D476" s="2" t="s">
        <v>46</v>
      </c>
      <c r="E476" s="2" t="n">
        <v>5000</v>
      </c>
      <c r="F476" s="2" t="s">
        <v>18</v>
      </c>
      <c r="G476" s="2"/>
      <c r="H476" s="2" t="str">
        <f aca="false">VLOOKUP(B476,$N$2:$S$41,3,FALSE())</f>
        <v>Model-Z</v>
      </c>
      <c r="I476" s="2" t="str">
        <f aca="false">VLOOKUP(B476,$N$2:$S$41,2,FALSE())</f>
        <v>Казань, Кремлёвская</v>
      </c>
      <c r="J476" s="2" t="n">
        <f aca="false">IF(F476="success",1,0)</f>
        <v>1</v>
      </c>
      <c r="K476" s="2" t="n">
        <f aca="false">VLOOKUP(H476,Lookup!$A$4:$B$6,2,FALSE())</f>
        <v>16</v>
      </c>
    </row>
    <row r="477" customFormat="false" ht="15" hidden="false" customHeight="false" outlineLevel="0" collapsed="false">
      <c r="A477" s="2" t="s">
        <v>586</v>
      </c>
      <c r="B477" s="2" t="s">
        <v>50</v>
      </c>
      <c r="C477" s="3" t="n">
        <v>46288.5706018519</v>
      </c>
      <c r="D477" s="2" t="s">
        <v>17</v>
      </c>
      <c r="E477" s="2" t="n">
        <v>5000</v>
      </c>
      <c r="F477" s="2" t="s">
        <v>18</v>
      </c>
      <c r="G477" s="2"/>
      <c r="H477" s="2" t="str">
        <f aca="false">VLOOKUP(B477,$N$2:$S$41,3,FALSE())</f>
        <v>Model-Y</v>
      </c>
      <c r="I477" s="2" t="str">
        <f aca="false">VLOOKUP(B477,$N$2:$S$41,2,FALSE())</f>
        <v>Санкт-Петербург, Московский пр-т</v>
      </c>
      <c r="J477" s="2" t="n">
        <f aca="false">IF(F477="success",1,0)</f>
        <v>1</v>
      </c>
      <c r="K477" s="2" t="n">
        <f aca="false">VLOOKUP(H477,Lookup!$A$4:$B$6,2,FALSE())</f>
        <v>14</v>
      </c>
    </row>
    <row r="478" customFormat="false" ht="15" hidden="false" customHeight="false" outlineLevel="0" collapsed="false">
      <c r="A478" s="2" t="s">
        <v>587</v>
      </c>
      <c r="B478" s="2" t="s">
        <v>47</v>
      </c>
      <c r="C478" s="3" t="n">
        <v>46288.6160300926</v>
      </c>
      <c r="D478" s="2" t="s">
        <v>17</v>
      </c>
      <c r="E478" s="2" t="n">
        <v>2000</v>
      </c>
      <c r="F478" s="2" t="s">
        <v>18</v>
      </c>
      <c r="G478" s="2"/>
      <c r="H478" s="2" t="str">
        <f aca="false">VLOOKUP(B478,$N$2:$S$41,3,FALSE())</f>
        <v>Model-X</v>
      </c>
      <c r="I478" s="2" t="str">
        <f aca="false">VLOOKUP(B478,$N$2:$S$41,2,FALSE())</f>
        <v>Санкт-Петербург, Невский пр-т</v>
      </c>
      <c r="J478" s="2" t="n">
        <f aca="false">IF(F478="success",1,0)</f>
        <v>1</v>
      </c>
      <c r="K478" s="2" t="n">
        <f aca="false">VLOOKUP(H478,Lookup!$A$4:$B$6,2,FALSE())</f>
        <v>18</v>
      </c>
    </row>
    <row r="479" customFormat="false" ht="15" hidden="false" customHeight="false" outlineLevel="0" collapsed="false">
      <c r="A479" s="2" t="s">
        <v>588</v>
      </c>
      <c r="B479" s="2" t="s">
        <v>35</v>
      </c>
      <c r="C479" s="3" t="n">
        <v>46288.6416666667</v>
      </c>
      <c r="D479" s="2" t="s">
        <v>46</v>
      </c>
      <c r="E479" s="2" t="n">
        <v>2000</v>
      </c>
      <c r="F479" s="2" t="s">
        <v>18</v>
      </c>
      <c r="G479" s="2"/>
      <c r="H479" s="2" t="str">
        <f aca="false">VLOOKUP(B479,$N$2:$S$41,3,FALSE())</f>
        <v>Model-X</v>
      </c>
      <c r="I479" s="2" t="str">
        <f aca="false">VLOOKUP(B479,$N$2:$S$41,2,FALSE())</f>
        <v>Москва, Ленинградский пр-т</v>
      </c>
      <c r="J479" s="2" t="n">
        <f aca="false">IF(F479="success",1,0)</f>
        <v>1</v>
      </c>
      <c r="K479" s="2" t="n">
        <f aca="false">VLOOKUP(H479,Lookup!$A$4:$B$6,2,FALSE())</f>
        <v>18</v>
      </c>
    </row>
    <row r="480" customFormat="false" ht="15" hidden="false" customHeight="false" outlineLevel="0" collapsed="false">
      <c r="A480" s="2" t="s">
        <v>589</v>
      </c>
      <c r="B480" s="2" t="s">
        <v>73</v>
      </c>
      <c r="C480" s="3" t="n">
        <v>46288.6882060185</v>
      </c>
      <c r="D480" s="2" t="s">
        <v>65</v>
      </c>
      <c r="E480" s="2" t="n">
        <v>1500</v>
      </c>
      <c r="F480" s="2" t="s">
        <v>18</v>
      </c>
      <c r="G480" s="2"/>
      <c r="H480" s="2" t="str">
        <f aca="false">VLOOKUP(B480,$N$2:$S$41,3,FALSE())</f>
        <v>Model-Y</v>
      </c>
      <c r="I480" s="2" t="str">
        <f aca="false">VLOOKUP(B480,$N$2:$S$41,2,FALSE())</f>
        <v>Казань, Чистопольская</v>
      </c>
      <c r="J480" s="2" t="n">
        <f aca="false">IF(F480="success",1,0)</f>
        <v>1</v>
      </c>
      <c r="K480" s="2" t="n">
        <f aca="false">VLOOKUP(H480,Lookup!$A$4:$B$6,2,FALSE())</f>
        <v>14</v>
      </c>
    </row>
    <row r="481" customFormat="false" ht="15" hidden="false" customHeight="false" outlineLevel="0" collapsed="false">
      <c r="A481" s="2" t="s">
        <v>590</v>
      </c>
      <c r="B481" s="2" t="s">
        <v>39</v>
      </c>
      <c r="C481" s="3" t="n">
        <v>46288.7160069444</v>
      </c>
      <c r="D481" s="2" t="s">
        <v>29</v>
      </c>
      <c r="E481" s="2" t="n">
        <v>0</v>
      </c>
      <c r="F481" s="2" t="s">
        <v>18</v>
      </c>
      <c r="G481" s="2"/>
      <c r="H481" s="2" t="str">
        <f aca="false">VLOOKUP(B481,$N$2:$S$41,3,FALSE())</f>
        <v>Model-Y</v>
      </c>
      <c r="I481" s="2" t="str">
        <f aca="false">VLOOKUP(B481,$N$2:$S$41,2,FALSE())</f>
        <v>Москва, Кутузовский пр-т</v>
      </c>
      <c r="J481" s="2" t="n">
        <f aca="false">IF(F481="success",1,0)</f>
        <v>1</v>
      </c>
      <c r="K481" s="2" t="n">
        <f aca="false">VLOOKUP(H481,Lookup!$A$4:$B$6,2,FALSE())</f>
        <v>14</v>
      </c>
    </row>
    <row r="482" customFormat="false" ht="15" hidden="false" customHeight="false" outlineLevel="0" collapsed="false">
      <c r="A482" s="2" t="s">
        <v>591</v>
      </c>
      <c r="B482" s="2" t="s">
        <v>53</v>
      </c>
      <c r="C482" s="3" t="n">
        <v>46288.7277314815</v>
      </c>
      <c r="D482" s="2" t="s">
        <v>17</v>
      </c>
      <c r="E482" s="2" t="n">
        <v>10000</v>
      </c>
      <c r="F482" s="2" t="s">
        <v>18</v>
      </c>
      <c r="G482" s="2"/>
      <c r="H482" s="2" t="str">
        <f aca="false">VLOOKUP(B482,$N$2:$S$41,3,FALSE())</f>
        <v>Model-Z</v>
      </c>
      <c r="I482" s="2" t="str">
        <f aca="false">VLOOKUP(B482,$N$2:$S$41,2,FALSE())</f>
        <v>Ростов-на-Дону, Будённовский</v>
      </c>
      <c r="J482" s="2" t="n">
        <f aca="false">IF(F482="success",1,0)</f>
        <v>1</v>
      </c>
      <c r="K482" s="2" t="n">
        <f aca="false">VLOOKUP(H482,Lookup!$A$4:$B$6,2,FALSE())</f>
        <v>16</v>
      </c>
    </row>
    <row r="483" customFormat="false" ht="15" hidden="false" customHeight="false" outlineLevel="0" collapsed="false">
      <c r="A483" s="2" t="s">
        <v>592</v>
      </c>
      <c r="B483" s="2" t="s">
        <v>88</v>
      </c>
      <c r="C483" s="3" t="n">
        <v>46288.7487615741</v>
      </c>
      <c r="D483" s="2" t="s">
        <v>17</v>
      </c>
      <c r="E483" s="2" t="n">
        <v>1000</v>
      </c>
      <c r="F483" s="2" t="s">
        <v>18</v>
      </c>
      <c r="G483" s="2"/>
      <c r="H483" s="2" t="str">
        <f aca="false">VLOOKUP(B483,$N$2:$S$41,3,FALSE())</f>
        <v>Model-Z</v>
      </c>
      <c r="I483" s="2" t="str">
        <f aca="false">VLOOKUP(B483,$N$2:$S$41,2,FALSE())</f>
        <v>Екатеринбург, Вайнера</v>
      </c>
      <c r="J483" s="2" t="n">
        <f aca="false">IF(F483="success",1,0)</f>
        <v>1</v>
      </c>
      <c r="K483" s="2" t="n">
        <f aca="false">VLOOKUP(H483,Lookup!$A$4:$B$6,2,FALSE())</f>
        <v>16</v>
      </c>
    </row>
    <row r="484" customFormat="false" ht="15" hidden="false" customHeight="false" outlineLevel="0" collapsed="false">
      <c r="A484" s="2" t="s">
        <v>593</v>
      </c>
      <c r="B484" s="2" t="s">
        <v>35</v>
      </c>
      <c r="C484" s="3" t="n">
        <v>46288.7573842593</v>
      </c>
      <c r="D484" s="2" t="s">
        <v>17</v>
      </c>
      <c r="E484" s="2" t="n">
        <v>1000</v>
      </c>
      <c r="F484" s="2" t="s">
        <v>76</v>
      </c>
      <c r="G484" s="2" t="s">
        <v>77</v>
      </c>
      <c r="H484" s="2" t="str">
        <f aca="false">VLOOKUP(B484,$N$2:$S$41,3,FALSE())</f>
        <v>Model-X</v>
      </c>
      <c r="I484" s="2" t="str">
        <f aca="false">VLOOKUP(B484,$N$2:$S$41,2,FALSE())</f>
        <v>Москва, Ленинградский пр-т</v>
      </c>
      <c r="J484" s="2" t="n">
        <f aca="false">IF(F484="success",1,0)</f>
        <v>0</v>
      </c>
      <c r="K484" s="2" t="n">
        <f aca="false">VLOOKUP(H484,Lookup!$A$4:$B$6,2,FALSE())</f>
        <v>18</v>
      </c>
    </row>
    <row r="485" customFormat="false" ht="15" hidden="false" customHeight="false" outlineLevel="0" collapsed="false">
      <c r="A485" s="2" t="s">
        <v>594</v>
      </c>
      <c r="B485" s="2" t="s">
        <v>81</v>
      </c>
      <c r="C485" s="3" t="n">
        <v>46288.7685648148</v>
      </c>
      <c r="D485" s="2" t="s">
        <v>17</v>
      </c>
      <c r="E485" s="2" t="n">
        <v>1000</v>
      </c>
      <c r="F485" s="2" t="s">
        <v>100</v>
      </c>
      <c r="G485" s="2"/>
      <c r="H485" s="2" t="str">
        <f aca="false">VLOOKUP(B485,$N$2:$S$41,3,FALSE())</f>
        <v>Model-X</v>
      </c>
      <c r="I485" s="2" t="str">
        <f aca="false">VLOOKUP(B485,$N$2:$S$41,2,FALSE())</f>
        <v>Екатеринбург, Малышева</v>
      </c>
      <c r="J485" s="2" t="n">
        <f aca="false">IF(F485="success",1,0)</f>
        <v>0</v>
      </c>
      <c r="K485" s="2" t="n">
        <f aca="false">VLOOKUP(H485,Lookup!$A$4:$B$6,2,FALSE())</f>
        <v>18</v>
      </c>
    </row>
    <row r="486" customFormat="false" ht="15" hidden="false" customHeight="false" outlineLevel="0" collapsed="false">
      <c r="A486" s="2" t="s">
        <v>595</v>
      </c>
      <c r="B486" s="2" t="s">
        <v>38</v>
      </c>
      <c r="C486" s="3" t="n">
        <v>46288.8078240741</v>
      </c>
      <c r="D486" s="2" t="s">
        <v>17</v>
      </c>
      <c r="E486" s="2" t="n">
        <v>15000</v>
      </c>
      <c r="F486" s="2" t="s">
        <v>18</v>
      </c>
      <c r="G486" s="2"/>
      <c r="H486" s="2" t="str">
        <f aca="false">VLOOKUP(B486,$N$2:$S$41,3,FALSE())</f>
        <v>Model-Z</v>
      </c>
      <c r="I486" s="2" t="str">
        <f aca="false">VLOOKUP(B486,$N$2:$S$41,2,FALSE())</f>
        <v>Казань, Кремлёвская</v>
      </c>
      <c r="J486" s="2" t="n">
        <f aca="false">IF(F486="success",1,0)</f>
        <v>1</v>
      </c>
      <c r="K486" s="2" t="n">
        <f aca="false">VLOOKUP(H486,Lookup!$A$4:$B$6,2,FALSE())</f>
        <v>16</v>
      </c>
    </row>
    <row r="487" customFormat="false" ht="15" hidden="false" customHeight="false" outlineLevel="0" collapsed="false">
      <c r="A487" s="2" t="s">
        <v>596</v>
      </c>
      <c r="B487" s="2" t="s">
        <v>72</v>
      </c>
      <c r="C487" s="3" t="n">
        <v>46288.8174305556</v>
      </c>
      <c r="D487" s="2" t="s">
        <v>29</v>
      </c>
      <c r="E487" s="2" t="n">
        <v>0</v>
      </c>
      <c r="F487" s="2" t="s">
        <v>18</v>
      </c>
      <c r="G487" s="2"/>
      <c r="H487" s="2" t="str">
        <f aca="false">VLOOKUP(B487,$N$2:$S$41,3,FALSE())</f>
        <v>Model-Y</v>
      </c>
      <c r="I487" s="2" t="str">
        <f aca="false">VLOOKUP(B487,$N$2:$S$41,2,FALSE())</f>
        <v>Ростов-на-Дону, Садовая</v>
      </c>
      <c r="J487" s="2" t="n">
        <f aca="false">IF(F487="success",1,0)</f>
        <v>1</v>
      </c>
      <c r="K487" s="2" t="n">
        <f aca="false">VLOOKUP(H487,Lookup!$A$4:$B$6,2,FALSE())</f>
        <v>14</v>
      </c>
    </row>
    <row r="488" customFormat="false" ht="15" hidden="false" customHeight="false" outlineLevel="0" collapsed="false">
      <c r="A488" s="2" t="s">
        <v>597</v>
      </c>
      <c r="B488" s="2" t="s">
        <v>81</v>
      </c>
      <c r="C488" s="3" t="n">
        <v>46288.8218981482</v>
      </c>
      <c r="D488" s="2" t="s">
        <v>17</v>
      </c>
      <c r="E488" s="2" t="n">
        <v>10000</v>
      </c>
      <c r="F488" s="2" t="s">
        <v>18</v>
      </c>
      <c r="G488" s="2"/>
      <c r="H488" s="2" t="str">
        <f aca="false">VLOOKUP(B488,$N$2:$S$41,3,FALSE())</f>
        <v>Model-X</v>
      </c>
      <c r="I488" s="2" t="str">
        <f aca="false">VLOOKUP(B488,$N$2:$S$41,2,FALSE())</f>
        <v>Екатеринбург, Малышева</v>
      </c>
      <c r="J488" s="2" t="n">
        <f aca="false">IF(F488="success",1,0)</f>
        <v>1</v>
      </c>
      <c r="K488" s="2" t="n">
        <f aca="false">VLOOKUP(H488,Lookup!$A$4:$B$6,2,FALSE())</f>
        <v>18</v>
      </c>
    </row>
    <row r="489" customFormat="false" ht="15" hidden="false" customHeight="false" outlineLevel="0" collapsed="false">
      <c r="A489" s="2" t="s">
        <v>598</v>
      </c>
      <c r="B489" s="2" t="s">
        <v>73</v>
      </c>
      <c r="C489" s="3" t="n">
        <v>46288.8855208333</v>
      </c>
      <c r="D489" s="2" t="s">
        <v>29</v>
      </c>
      <c r="E489" s="2" t="n">
        <v>0</v>
      </c>
      <c r="F489" s="2" t="s">
        <v>18</v>
      </c>
      <c r="G489" s="2"/>
      <c r="H489" s="2" t="str">
        <f aca="false">VLOOKUP(B489,$N$2:$S$41,3,FALSE())</f>
        <v>Model-Y</v>
      </c>
      <c r="I489" s="2" t="str">
        <f aca="false">VLOOKUP(B489,$N$2:$S$41,2,FALSE())</f>
        <v>Казань, Чистопольская</v>
      </c>
      <c r="J489" s="2" t="n">
        <f aca="false">IF(F489="success",1,0)</f>
        <v>1</v>
      </c>
      <c r="K489" s="2" t="n">
        <f aca="false">VLOOKUP(H489,Lookup!$A$4:$B$6,2,FALSE())</f>
        <v>14</v>
      </c>
    </row>
    <row r="490" customFormat="false" ht="15" hidden="false" customHeight="false" outlineLevel="0" collapsed="false">
      <c r="A490" s="2" t="s">
        <v>599</v>
      </c>
      <c r="B490" s="2" t="s">
        <v>88</v>
      </c>
      <c r="C490" s="3" t="n">
        <v>46289.2486111111</v>
      </c>
      <c r="D490" s="2" t="s">
        <v>17</v>
      </c>
      <c r="E490" s="2" t="n">
        <v>500</v>
      </c>
      <c r="F490" s="2" t="s">
        <v>18</v>
      </c>
      <c r="G490" s="2"/>
      <c r="H490" s="2" t="str">
        <f aca="false">VLOOKUP(B490,$N$2:$S$41,3,FALSE())</f>
        <v>Model-Z</v>
      </c>
      <c r="I490" s="2" t="str">
        <f aca="false">VLOOKUP(B490,$N$2:$S$41,2,FALSE())</f>
        <v>Екатеринбург, Вайнера</v>
      </c>
      <c r="J490" s="2" t="n">
        <f aca="false">IF(F490="success",1,0)</f>
        <v>1</v>
      </c>
      <c r="K490" s="2" t="n">
        <f aca="false">VLOOKUP(H490,Lookup!$A$4:$B$6,2,FALSE())</f>
        <v>16</v>
      </c>
    </row>
    <row r="491" customFormat="false" ht="15" hidden="false" customHeight="false" outlineLevel="0" collapsed="false">
      <c r="A491" s="2" t="s">
        <v>600</v>
      </c>
      <c r="B491" s="2" t="s">
        <v>39</v>
      </c>
      <c r="C491" s="3" t="n">
        <v>46289.3166666667</v>
      </c>
      <c r="D491" s="2" t="s">
        <v>17</v>
      </c>
      <c r="E491" s="2" t="n">
        <v>3000</v>
      </c>
      <c r="F491" s="2" t="s">
        <v>18</v>
      </c>
      <c r="G491" s="2"/>
      <c r="H491" s="2" t="str">
        <f aca="false">VLOOKUP(B491,$N$2:$S$41,3,FALSE())</f>
        <v>Model-Y</v>
      </c>
      <c r="I491" s="2" t="str">
        <f aca="false">VLOOKUP(B491,$N$2:$S$41,2,FALSE())</f>
        <v>Москва, Кутузовский пр-т</v>
      </c>
      <c r="J491" s="2" t="n">
        <f aca="false">IF(F491="success",1,0)</f>
        <v>1</v>
      </c>
      <c r="K491" s="2" t="n">
        <f aca="false">VLOOKUP(H491,Lookup!$A$4:$B$6,2,FALSE())</f>
        <v>14</v>
      </c>
    </row>
    <row r="492" customFormat="false" ht="15" hidden="false" customHeight="false" outlineLevel="0" collapsed="false">
      <c r="A492" s="2" t="s">
        <v>601</v>
      </c>
      <c r="B492" s="2" t="s">
        <v>39</v>
      </c>
      <c r="C492" s="3" t="n">
        <v>46289.3927199074</v>
      </c>
      <c r="D492" s="2" t="s">
        <v>17</v>
      </c>
      <c r="E492" s="2" t="n">
        <v>1500</v>
      </c>
      <c r="F492" s="2" t="s">
        <v>18</v>
      </c>
      <c r="G492" s="2"/>
      <c r="H492" s="2" t="str">
        <f aca="false">VLOOKUP(B492,$N$2:$S$41,3,FALSE())</f>
        <v>Model-Y</v>
      </c>
      <c r="I492" s="2" t="str">
        <f aca="false">VLOOKUP(B492,$N$2:$S$41,2,FALSE())</f>
        <v>Москва, Кутузовский пр-т</v>
      </c>
      <c r="J492" s="2" t="n">
        <f aca="false">IF(F492="success",1,0)</f>
        <v>1</v>
      </c>
      <c r="K492" s="2" t="n">
        <f aca="false">VLOOKUP(H492,Lookup!$A$4:$B$6,2,FALSE())</f>
        <v>14</v>
      </c>
    </row>
    <row r="493" customFormat="false" ht="15" hidden="false" customHeight="false" outlineLevel="0" collapsed="false">
      <c r="A493" s="2" t="s">
        <v>602</v>
      </c>
      <c r="B493" s="2" t="s">
        <v>58</v>
      </c>
      <c r="C493" s="3" t="n">
        <v>46289.4440162037</v>
      </c>
      <c r="D493" s="2" t="s">
        <v>29</v>
      </c>
      <c r="E493" s="2" t="n">
        <v>0</v>
      </c>
      <c r="F493" s="2" t="s">
        <v>18</v>
      </c>
      <c r="G493" s="2"/>
      <c r="H493" s="2" t="str">
        <f aca="false">VLOOKUP(B493,$N$2:$S$41,3,FALSE())</f>
        <v>Model-Y</v>
      </c>
      <c r="I493" s="2" t="str">
        <f aca="false">VLOOKUP(B493,$N$2:$S$41,2,FALSE())</f>
        <v>Краснодар, Красная</v>
      </c>
      <c r="J493" s="2" t="n">
        <f aca="false">IF(F493="success",1,0)</f>
        <v>1</v>
      </c>
      <c r="K493" s="2" t="n">
        <f aca="false">VLOOKUP(H493,Lookup!$A$4:$B$6,2,FALSE())</f>
        <v>14</v>
      </c>
    </row>
    <row r="494" customFormat="false" ht="15" hidden="false" customHeight="false" outlineLevel="0" collapsed="false">
      <c r="A494" s="2" t="s">
        <v>603</v>
      </c>
      <c r="B494" s="2" t="s">
        <v>38</v>
      </c>
      <c r="C494" s="3" t="n">
        <v>46289.4616319445</v>
      </c>
      <c r="D494" s="2" t="s">
        <v>65</v>
      </c>
      <c r="E494" s="2" t="n">
        <v>5000</v>
      </c>
      <c r="F494" s="2" t="s">
        <v>18</v>
      </c>
      <c r="G494" s="2"/>
      <c r="H494" s="2" t="str">
        <f aca="false">VLOOKUP(B494,$N$2:$S$41,3,FALSE())</f>
        <v>Model-Z</v>
      </c>
      <c r="I494" s="2" t="str">
        <f aca="false">VLOOKUP(B494,$N$2:$S$41,2,FALSE())</f>
        <v>Казань, Кремлёвская</v>
      </c>
      <c r="J494" s="2" t="n">
        <f aca="false">IF(F494="success",1,0)</f>
        <v>1</v>
      </c>
      <c r="K494" s="2" t="n">
        <f aca="false">VLOOKUP(H494,Lookup!$A$4:$B$6,2,FALSE())</f>
        <v>16</v>
      </c>
    </row>
    <row r="495" customFormat="false" ht="15" hidden="false" customHeight="false" outlineLevel="0" collapsed="false">
      <c r="A495" s="2" t="s">
        <v>604</v>
      </c>
      <c r="B495" s="2" t="s">
        <v>62</v>
      </c>
      <c r="C495" s="3" t="n">
        <v>46289.4646296296</v>
      </c>
      <c r="D495" s="2" t="s">
        <v>17</v>
      </c>
      <c r="E495" s="2" t="n">
        <v>5000</v>
      </c>
      <c r="F495" s="2" t="s">
        <v>18</v>
      </c>
      <c r="G495" s="2"/>
      <c r="H495" s="2" t="str">
        <f aca="false">VLOOKUP(B495,$N$2:$S$41,3,FALSE())</f>
        <v>Model-X</v>
      </c>
      <c r="I495" s="2" t="str">
        <f aca="false">VLOOKUP(B495,$N$2:$S$41,2,FALSE())</f>
        <v>Казань, Баумана</v>
      </c>
      <c r="J495" s="2" t="n">
        <f aca="false">IF(F495="success",1,0)</f>
        <v>1</v>
      </c>
      <c r="K495" s="2" t="n">
        <f aca="false">VLOOKUP(H495,Lookup!$A$4:$B$6,2,FALSE())</f>
        <v>18</v>
      </c>
    </row>
    <row r="496" customFormat="false" ht="15" hidden="false" customHeight="false" outlineLevel="0" collapsed="false">
      <c r="A496" s="2" t="s">
        <v>605</v>
      </c>
      <c r="B496" s="2" t="s">
        <v>97</v>
      </c>
      <c r="C496" s="3" t="n">
        <v>46289.5145023148</v>
      </c>
      <c r="D496" s="2" t="s">
        <v>46</v>
      </c>
      <c r="E496" s="2" t="n">
        <v>1000</v>
      </c>
      <c r="F496" s="2" t="s">
        <v>18</v>
      </c>
      <c r="G496" s="2"/>
      <c r="H496" s="2" t="str">
        <f aca="false">VLOOKUP(B496,$N$2:$S$41,3,FALSE())</f>
        <v>Model-X</v>
      </c>
      <c r="I496" s="2" t="str">
        <f aca="false">VLOOKUP(B496,$N$2:$S$41,2,FALSE())</f>
        <v>Новосибирск, Гоголя</v>
      </c>
      <c r="J496" s="2" t="n">
        <f aca="false">IF(F496="success",1,0)</f>
        <v>1</v>
      </c>
      <c r="K496" s="2" t="n">
        <f aca="false">VLOOKUP(H496,Lookup!$A$4:$B$6,2,FALSE())</f>
        <v>18</v>
      </c>
    </row>
    <row r="497" customFormat="false" ht="15" hidden="false" customHeight="false" outlineLevel="0" collapsed="false">
      <c r="A497" s="2" t="s">
        <v>606</v>
      </c>
      <c r="B497" s="2" t="s">
        <v>97</v>
      </c>
      <c r="C497" s="3" t="n">
        <v>46289.5244212963</v>
      </c>
      <c r="D497" s="2" t="s">
        <v>29</v>
      </c>
      <c r="E497" s="2" t="n">
        <v>0</v>
      </c>
      <c r="F497" s="2" t="s">
        <v>18</v>
      </c>
      <c r="G497" s="2"/>
      <c r="H497" s="2" t="str">
        <f aca="false">VLOOKUP(B497,$N$2:$S$41,3,FALSE())</f>
        <v>Model-X</v>
      </c>
      <c r="I497" s="2" t="str">
        <f aca="false">VLOOKUP(B497,$N$2:$S$41,2,FALSE())</f>
        <v>Новосибирск, Гоголя</v>
      </c>
      <c r="J497" s="2" t="n">
        <f aca="false">IF(F497="success",1,0)</f>
        <v>1</v>
      </c>
      <c r="K497" s="2" t="n">
        <f aca="false">VLOOKUP(H497,Lookup!$A$4:$B$6,2,FALSE())</f>
        <v>18</v>
      </c>
    </row>
    <row r="498" customFormat="false" ht="15" hidden="false" customHeight="false" outlineLevel="0" collapsed="false">
      <c r="A498" s="2" t="s">
        <v>607</v>
      </c>
      <c r="B498" s="2" t="s">
        <v>45</v>
      </c>
      <c r="C498" s="3" t="n">
        <v>46289.5290856482</v>
      </c>
      <c r="D498" s="2" t="s">
        <v>17</v>
      </c>
      <c r="E498" s="2" t="n">
        <v>10000</v>
      </c>
      <c r="F498" s="2" t="s">
        <v>18</v>
      </c>
      <c r="G498" s="2"/>
      <c r="H498" s="2" t="str">
        <f aca="false">VLOOKUP(B498,$N$2:$S$41,3,FALSE())</f>
        <v>Model-Y</v>
      </c>
      <c r="I498" s="2" t="str">
        <f aca="false">VLOOKUP(B498,$N$2:$S$41,2,FALSE())</f>
        <v>Воронеж, Плехановская</v>
      </c>
      <c r="J498" s="2" t="n">
        <f aca="false">IF(F498="success",1,0)</f>
        <v>1</v>
      </c>
      <c r="K498" s="2" t="n">
        <f aca="false">VLOOKUP(H498,Lookup!$A$4:$B$6,2,FALSE())</f>
        <v>14</v>
      </c>
    </row>
    <row r="499" customFormat="false" ht="15" hidden="false" customHeight="false" outlineLevel="0" collapsed="false">
      <c r="A499" s="2" t="s">
        <v>608</v>
      </c>
      <c r="B499" s="2" t="s">
        <v>78</v>
      </c>
      <c r="C499" s="3" t="n">
        <v>46289.7163078704</v>
      </c>
      <c r="D499" s="2" t="s">
        <v>65</v>
      </c>
      <c r="E499" s="2" t="n">
        <v>1500</v>
      </c>
      <c r="F499" s="2" t="s">
        <v>18</v>
      </c>
      <c r="G499" s="2"/>
      <c r="H499" s="2" t="str">
        <f aca="false">VLOOKUP(B499,$N$2:$S$41,3,FALSE())</f>
        <v>Model-Z</v>
      </c>
      <c r="I499" s="2" t="str">
        <f aca="false">VLOOKUP(B499,$N$2:$S$41,2,FALSE())</f>
        <v>Екатеринбург, Ленина</v>
      </c>
      <c r="J499" s="2" t="n">
        <f aca="false">IF(F499="success",1,0)</f>
        <v>1</v>
      </c>
      <c r="K499" s="2" t="n">
        <f aca="false">VLOOKUP(H499,Lookup!$A$4:$B$6,2,FALSE())</f>
        <v>16</v>
      </c>
    </row>
    <row r="500" customFormat="false" ht="15" hidden="false" customHeight="false" outlineLevel="0" collapsed="false">
      <c r="A500" s="2" t="s">
        <v>609</v>
      </c>
      <c r="B500" s="2" t="s">
        <v>88</v>
      </c>
      <c r="C500" s="3" t="n">
        <v>46289.7201967593</v>
      </c>
      <c r="D500" s="2" t="s">
        <v>17</v>
      </c>
      <c r="E500" s="2" t="n">
        <v>3000</v>
      </c>
      <c r="F500" s="2" t="s">
        <v>18</v>
      </c>
      <c r="G500" s="2"/>
      <c r="H500" s="2" t="str">
        <f aca="false">VLOOKUP(B500,$N$2:$S$41,3,FALSE())</f>
        <v>Model-Z</v>
      </c>
      <c r="I500" s="2" t="str">
        <f aca="false">VLOOKUP(B500,$N$2:$S$41,2,FALSE())</f>
        <v>Екатеринбург, Вайнера</v>
      </c>
      <c r="J500" s="2" t="n">
        <f aca="false">IF(F500="success",1,0)</f>
        <v>1</v>
      </c>
      <c r="K500" s="2" t="n">
        <f aca="false">VLOOKUP(H500,Lookup!$A$4:$B$6,2,FALSE())</f>
        <v>16</v>
      </c>
    </row>
    <row r="501" customFormat="false" ht="15" hidden="false" customHeight="false" outlineLevel="0" collapsed="false">
      <c r="A501" s="2" t="s">
        <v>610</v>
      </c>
      <c r="B501" s="2" t="s">
        <v>139</v>
      </c>
      <c r="C501" s="3" t="n">
        <v>46289.7305208333</v>
      </c>
      <c r="D501" s="2" t="s">
        <v>17</v>
      </c>
      <c r="E501" s="2" t="n">
        <v>15000</v>
      </c>
      <c r="F501" s="2" t="s">
        <v>18</v>
      </c>
      <c r="G501" s="2"/>
      <c r="H501" s="2" t="str">
        <f aca="false">VLOOKUP(B501,$N$2:$S$41,3,FALSE())</f>
        <v>Model-X</v>
      </c>
      <c r="I501" s="2" t="str">
        <f aca="false">VLOOKUP(B501,$N$2:$S$41,2,FALSE())</f>
        <v>Воронеж, Революции</v>
      </c>
      <c r="J501" s="2" t="n">
        <f aca="false">IF(F501="success",1,0)</f>
        <v>1</v>
      </c>
      <c r="K501" s="2" t="n">
        <f aca="false">VLOOKUP(H501,Lookup!$A$4:$B$6,2,FALSE())</f>
        <v>18</v>
      </c>
    </row>
    <row r="502" customFormat="false" ht="15" hidden="false" customHeight="false" outlineLevel="0" collapsed="false">
      <c r="A502" s="2" t="s">
        <v>611</v>
      </c>
      <c r="B502" s="2" t="s">
        <v>88</v>
      </c>
      <c r="C502" s="3" t="n">
        <v>46289.757037037</v>
      </c>
      <c r="D502" s="2" t="s">
        <v>17</v>
      </c>
      <c r="E502" s="2" t="n">
        <v>500</v>
      </c>
      <c r="F502" s="2" t="s">
        <v>18</v>
      </c>
      <c r="G502" s="2"/>
      <c r="H502" s="2" t="str">
        <f aca="false">VLOOKUP(B502,$N$2:$S$41,3,FALSE())</f>
        <v>Model-Z</v>
      </c>
      <c r="I502" s="2" t="str">
        <f aca="false">VLOOKUP(B502,$N$2:$S$41,2,FALSE())</f>
        <v>Екатеринбург, Вайнера</v>
      </c>
      <c r="J502" s="2" t="n">
        <f aca="false">IF(F502="success",1,0)</f>
        <v>1</v>
      </c>
      <c r="K502" s="2" t="n">
        <f aca="false">VLOOKUP(H502,Lookup!$A$4:$B$6,2,FALSE())</f>
        <v>16</v>
      </c>
    </row>
    <row r="503" customFormat="false" ht="15" hidden="false" customHeight="false" outlineLevel="0" collapsed="false">
      <c r="A503" s="2" t="s">
        <v>612</v>
      </c>
      <c r="B503" s="2" t="s">
        <v>16</v>
      </c>
      <c r="C503" s="3" t="n">
        <v>46289.7895023148</v>
      </c>
      <c r="D503" s="2" t="s">
        <v>17</v>
      </c>
      <c r="E503" s="2" t="n">
        <v>2000</v>
      </c>
      <c r="F503" s="2" t="s">
        <v>18</v>
      </c>
      <c r="G503" s="2"/>
      <c r="H503" s="2" t="str">
        <f aca="false">VLOOKUP(B503,$N$2:$S$41,3,FALSE())</f>
        <v>Model-X</v>
      </c>
      <c r="I503" s="2" t="str">
        <f aca="false">VLOOKUP(B503,$N$2:$S$41,2,FALSE())</f>
        <v>Москва, Тверская</v>
      </c>
      <c r="J503" s="2" t="n">
        <f aca="false">IF(F503="success",1,0)</f>
        <v>1</v>
      </c>
      <c r="K503" s="2" t="n">
        <f aca="false">VLOOKUP(H503,Lookup!$A$4:$B$6,2,FALSE())</f>
        <v>18</v>
      </c>
    </row>
    <row r="504" customFormat="false" ht="15" hidden="false" customHeight="false" outlineLevel="0" collapsed="false">
      <c r="A504" s="2" t="s">
        <v>613</v>
      </c>
      <c r="B504" s="2" t="s">
        <v>28</v>
      </c>
      <c r="C504" s="3" t="n">
        <v>46289.7956712963</v>
      </c>
      <c r="D504" s="2" t="s">
        <v>17</v>
      </c>
      <c r="E504" s="2" t="n">
        <v>15000</v>
      </c>
      <c r="F504" s="2" t="s">
        <v>18</v>
      </c>
      <c r="G504" s="2"/>
      <c r="H504" s="2" t="str">
        <f aca="false">VLOOKUP(B504,$N$2:$S$41,3,FALSE())</f>
        <v>Model-X</v>
      </c>
      <c r="I504" s="2" t="str">
        <f aca="false">VLOOKUP(B504,$N$2:$S$41,2,FALSE())</f>
        <v>Новосибирск, Дуси Ковальчук</v>
      </c>
      <c r="J504" s="2" t="n">
        <f aca="false">IF(F504="success",1,0)</f>
        <v>1</v>
      </c>
      <c r="K504" s="2" t="n">
        <f aca="false">VLOOKUP(H504,Lookup!$A$4:$B$6,2,FALSE())</f>
        <v>18</v>
      </c>
    </row>
    <row r="505" customFormat="false" ht="15" hidden="false" customHeight="false" outlineLevel="0" collapsed="false">
      <c r="A505" s="2" t="s">
        <v>614</v>
      </c>
      <c r="B505" s="2" t="s">
        <v>125</v>
      </c>
      <c r="C505" s="3" t="n">
        <v>46289.8528009259</v>
      </c>
      <c r="D505" s="2" t="s">
        <v>17</v>
      </c>
      <c r="E505" s="2" t="n">
        <v>10000</v>
      </c>
      <c r="F505" s="2" t="s">
        <v>100</v>
      </c>
      <c r="G505" s="2"/>
      <c r="H505" s="2" t="str">
        <f aca="false">VLOOKUP(B505,$N$2:$S$41,3,FALSE())</f>
        <v>Model-X</v>
      </c>
      <c r="I505" s="2" t="str">
        <f aca="false">VLOOKUP(B505,$N$2:$S$41,2,FALSE())</f>
        <v>Ростов-на-Дону, Пушкинская</v>
      </c>
      <c r="J505" s="2" t="n">
        <f aca="false">IF(F505="success",1,0)</f>
        <v>0</v>
      </c>
      <c r="K505" s="2" t="n">
        <f aca="false">VLOOKUP(H505,Lookup!$A$4:$B$6,2,FALSE())</f>
        <v>18</v>
      </c>
    </row>
    <row r="506" customFormat="false" ht="15" hidden="false" customHeight="false" outlineLevel="0" collapsed="false">
      <c r="A506" s="2" t="s">
        <v>615</v>
      </c>
      <c r="B506" s="2" t="s">
        <v>69</v>
      </c>
      <c r="C506" s="3" t="n">
        <v>46289.8698611111</v>
      </c>
      <c r="D506" s="2" t="s">
        <v>46</v>
      </c>
      <c r="E506" s="2" t="n">
        <v>3000</v>
      </c>
      <c r="F506" s="2" t="s">
        <v>18</v>
      </c>
      <c r="G506" s="2"/>
      <c r="H506" s="2" t="str">
        <f aca="false">VLOOKUP(B506,$N$2:$S$41,3,FALSE())</f>
        <v>Model-X</v>
      </c>
      <c r="I506" s="2" t="str">
        <f aca="false">VLOOKUP(B506,$N$2:$S$41,2,FALSE())</f>
        <v>Казань, Пушкина</v>
      </c>
      <c r="J506" s="2" t="n">
        <f aca="false">IF(F506="success",1,0)</f>
        <v>1</v>
      </c>
      <c r="K506" s="2" t="n">
        <f aca="false">VLOOKUP(H506,Lookup!$A$4:$B$6,2,FALSE())</f>
        <v>18</v>
      </c>
    </row>
    <row r="507" customFormat="false" ht="15" hidden="false" customHeight="false" outlineLevel="0" collapsed="false">
      <c r="A507" s="2" t="s">
        <v>616</v>
      </c>
      <c r="B507" s="2" t="s">
        <v>93</v>
      </c>
      <c r="C507" s="3" t="n">
        <v>46289.8736689815</v>
      </c>
      <c r="D507" s="2" t="s">
        <v>17</v>
      </c>
      <c r="E507" s="2" t="n">
        <v>10000</v>
      </c>
      <c r="F507" s="2" t="s">
        <v>18</v>
      </c>
      <c r="G507" s="2"/>
      <c r="H507" s="2" t="str">
        <f aca="false">VLOOKUP(B507,$N$2:$S$41,3,FALSE())</f>
        <v>Model-Y</v>
      </c>
      <c r="I507" s="2" t="str">
        <f aca="false">VLOOKUP(B507,$N$2:$S$41,2,FALSE())</f>
        <v>Новосибирск, Ленина</v>
      </c>
      <c r="J507" s="2" t="n">
        <f aca="false">IF(F507="success",1,0)</f>
        <v>1</v>
      </c>
      <c r="K507" s="2" t="n">
        <f aca="false">VLOOKUP(H507,Lookup!$A$4:$B$6,2,FALSE())</f>
        <v>14</v>
      </c>
    </row>
    <row r="508" customFormat="false" ht="15" hidden="false" customHeight="false" outlineLevel="0" collapsed="false">
      <c r="A508" s="2" t="s">
        <v>617</v>
      </c>
      <c r="B508" s="2" t="s">
        <v>84</v>
      </c>
      <c r="C508" s="3" t="n">
        <v>46290.2953935185</v>
      </c>
      <c r="D508" s="2" t="s">
        <v>17</v>
      </c>
      <c r="E508" s="2" t="n">
        <v>5000</v>
      </c>
      <c r="F508" s="2" t="s">
        <v>18</v>
      </c>
      <c r="G508" s="2"/>
      <c r="H508" s="2" t="str">
        <f aca="false">VLOOKUP(B508,$N$2:$S$41,3,FALSE())</f>
        <v>Model-X</v>
      </c>
      <c r="I508" s="2" t="str">
        <f aca="false">VLOOKUP(B508,$N$2:$S$41,2,FALSE())</f>
        <v>Новосибирск, Красный пр-т</v>
      </c>
      <c r="J508" s="2" t="n">
        <f aca="false">IF(F508="success",1,0)</f>
        <v>1</v>
      </c>
      <c r="K508" s="2" t="n">
        <f aca="false">VLOOKUP(H508,Lookup!$A$4:$B$6,2,FALSE())</f>
        <v>18</v>
      </c>
    </row>
    <row r="509" customFormat="false" ht="15" hidden="false" customHeight="false" outlineLevel="0" collapsed="false">
      <c r="A509" s="2" t="s">
        <v>618</v>
      </c>
      <c r="B509" s="2" t="s">
        <v>103</v>
      </c>
      <c r="C509" s="3" t="n">
        <v>46290.3021064815</v>
      </c>
      <c r="D509" s="2" t="s">
        <v>65</v>
      </c>
      <c r="E509" s="2" t="n">
        <v>3000</v>
      </c>
      <c r="F509" s="2" t="s">
        <v>18</v>
      </c>
      <c r="G509" s="2"/>
      <c r="H509" s="2" t="str">
        <f aca="false">VLOOKUP(B509,$N$2:$S$41,3,FALSE())</f>
        <v>Model-Y</v>
      </c>
      <c r="I509" s="2" t="str">
        <f aca="false">VLOOKUP(B509,$N$2:$S$41,2,FALSE())</f>
        <v>Нижний Новгород, Большая Покровская</v>
      </c>
      <c r="J509" s="2" t="n">
        <f aca="false">IF(F509="success",1,0)</f>
        <v>1</v>
      </c>
      <c r="K509" s="2" t="n">
        <f aca="false">VLOOKUP(H509,Lookup!$A$4:$B$6,2,FALSE())</f>
        <v>14</v>
      </c>
    </row>
    <row r="510" customFormat="false" ht="15" hidden="false" customHeight="false" outlineLevel="0" collapsed="false">
      <c r="A510" s="2" t="s">
        <v>619</v>
      </c>
      <c r="B510" s="2" t="s">
        <v>72</v>
      </c>
      <c r="C510" s="3" t="n">
        <v>46290.3131712963</v>
      </c>
      <c r="D510" s="2" t="s">
        <v>29</v>
      </c>
      <c r="E510" s="2" t="n">
        <v>0</v>
      </c>
      <c r="F510" s="2" t="s">
        <v>18</v>
      </c>
      <c r="G510" s="2"/>
      <c r="H510" s="2" t="str">
        <f aca="false">VLOOKUP(B510,$N$2:$S$41,3,FALSE())</f>
        <v>Model-Y</v>
      </c>
      <c r="I510" s="2" t="str">
        <f aca="false">VLOOKUP(B510,$N$2:$S$41,2,FALSE())</f>
        <v>Ростов-на-Дону, Садовая</v>
      </c>
      <c r="J510" s="2" t="n">
        <f aca="false">IF(F510="success",1,0)</f>
        <v>1</v>
      </c>
      <c r="K510" s="2" t="n">
        <f aca="false">VLOOKUP(H510,Lookup!$A$4:$B$6,2,FALSE())</f>
        <v>14</v>
      </c>
    </row>
    <row r="511" customFormat="false" ht="15" hidden="false" customHeight="false" outlineLevel="0" collapsed="false">
      <c r="A511" s="2" t="s">
        <v>620</v>
      </c>
      <c r="B511" s="2" t="s">
        <v>34</v>
      </c>
      <c r="C511" s="3" t="n">
        <v>46290.3214699074</v>
      </c>
      <c r="D511" s="2" t="s">
        <v>65</v>
      </c>
      <c r="E511" s="2" t="n">
        <v>15000</v>
      </c>
      <c r="F511" s="2" t="s">
        <v>18</v>
      </c>
      <c r="G511" s="2"/>
      <c r="H511" s="2" t="str">
        <f aca="false">VLOOKUP(B511,$N$2:$S$41,3,FALSE())</f>
        <v>Model-X</v>
      </c>
      <c r="I511" s="2" t="str">
        <f aca="false">VLOOKUP(B511,$N$2:$S$41,2,FALSE())</f>
        <v>Москва, Профсоюзная</v>
      </c>
      <c r="J511" s="2" t="n">
        <f aca="false">IF(F511="success",1,0)</f>
        <v>1</v>
      </c>
      <c r="K511" s="2" t="n">
        <f aca="false">VLOOKUP(H511,Lookup!$A$4:$B$6,2,FALSE())</f>
        <v>18</v>
      </c>
    </row>
    <row r="512" customFormat="false" ht="15" hidden="false" customHeight="false" outlineLevel="0" collapsed="false">
      <c r="A512" s="2" t="s">
        <v>621</v>
      </c>
      <c r="B512" s="2" t="s">
        <v>88</v>
      </c>
      <c r="C512" s="3" t="n">
        <v>46290.3608796296</v>
      </c>
      <c r="D512" s="2" t="s">
        <v>29</v>
      </c>
      <c r="E512" s="2" t="n">
        <v>0</v>
      </c>
      <c r="F512" s="2" t="s">
        <v>18</v>
      </c>
      <c r="G512" s="2"/>
      <c r="H512" s="2" t="str">
        <f aca="false">VLOOKUP(B512,$N$2:$S$41,3,FALSE())</f>
        <v>Model-Z</v>
      </c>
      <c r="I512" s="2" t="str">
        <f aca="false">VLOOKUP(B512,$N$2:$S$41,2,FALSE())</f>
        <v>Екатеринбург, Вайнера</v>
      </c>
      <c r="J512" s="2" t="n">
        <f aca="false">IF(F512="success",1,0)</f>
        <v>1</v>
      </c>
      <c r="K512" s="2" t="n">
        <f aca="false">VLOOKUP(H512,Lookup!$A$4:$B$6,2,FALSE())</f>
        <v>16</v>
      </c>
    </row>
    <row r="513" customFormat="false" ht="15" hidden="false" customHeight="false" outlineLevel="0" collapsed="false">
      <c r="A513" s="2" t="s">
        <v>622</v>
      </c>
      <c r="B513" s="2" t="s">
        <v>139</v>
      </c>
      <c r="C513" s="3" t="n">
        <v>46290.3974305556</v>
      </c>
      <c r="D513" s="2" t="s">
        <v>46</v>
      </c>
      <c r="E513" s="2" t="n">
        <v>1000</v>
      </c>
      <c r="F513" s="2" t="s">
        <v>18</v>
      </c>
      <c r="G513" s="2"/>
      <c r="H513" s="2" t="str">
        <f aca="false">VLOOKUP(B513,$N$2:$S$41,3,FALSE())</f>
        <v>Model-X</v>
      </c>
      <c r="I513" s="2" t="str">
        <f aca="false">VLOOKUP(B513,$N$2:$S$41,2,FALSE())</f>
        <v>Воронеж, Революции</v>
      </c>
      <c r="J513" s="2" t="n">
        <f aca="false">IF(F513="success",1,0)</f>
        <v>1</v>
      </c>
      <c r="K513" s="2" t="n">
        <f aca="false">VLOOKUP(H513,Lookup!$A$4:$B$6,2,FALSE())</f>
        <v>18</v>
      </c>
    </row>
    <row r="514" customFormat="false" ht="15" hidden="false" customHeight="false" outlineLevel="0" collapsed="false">
      <c r="A514" s="2" t="s">
        <v>623</v>
      </c>
      <c r="B514" s="2" t="s">
        <v>97</v>
      </c>
      <c r="C514" s="3" t="n">
        <v>46290.4417476852</v>
      </c>
      <c r="D514" s="2" t="s">
        <v>46</v>
      </c>
      <c r="E514" s="2" t="n">
        <v>7000</v>
      </c>
      <c r="F514" s="2" t="s">
        <v>18</v>
      </c>
      <c r="G514" s="2"/>
      <c r="H514" s="2" t="str">
        <f aca="false">VLOOKUP(B514,$N$2:$S$41,3,FALSE())</f>
        <v>Model-X</v>
      </c>
      <c r="I514" s="2" t="str">
        <f aca="false">VLOOKUP(B514,$N$2:$S$41,2,FALSE())</f>
        <v>Новосибирск, Гоголя</v>
      </c>
      <c r="J514" s="2" t="n">
        <f aca="false">IF(F514="success",1,0)</f>
        <v>1</v>
      </c>
      <c r="K514" s="2" t="n">
        <f aca="false">VLOOKUP(H514,Lookup!$A$4:$B$6,2,FALSE())</f>
        <v>18</v>
      </c>
    </row>
    <row r="515" customFormat="false" ht="15" hidden="false" customHeight="false" outlineLevel="0" collapsed="false">
      <c r="A515" s="2" t="s">
        <v>624</v>
      </c>
      <c r="B515" s="2" t="s">
        <v>42</v>
      </c>
      <c r="C515" s="3" t="n">
        <v>46290.5101736111</v>
      </c>
      <c r="D515" s="2" t="s">
        <v>46</v>
      </c>
      <c r="E515" s="2" t="n">
        <v>10000</v>
      </c>
      <c r="F515" s="2" t="s">
        <v>18</v>
      </c>
      <c r="G515" s="2"/>
      <c r="H515" s="2" t="str">
        <f aca="false">VLOOKUP(B515,$N$2:$S$41,3,FALSE())</f>
        <v>Model-X</v>
      </c>
      <c r="I515" s="2" t="str">
        <f aca="false">VLOOKUP(B515,$N$2:$S$41,2,FALSE())</f>
        <v>Краснодар, Гимназическая</v>
      </c>
      <c r="J515" s="2" t="n">
        <f aca="false">IF(F515="success",1,0)</f>
        <v>1</v>
      </c>
      <c r="K515" s="2" t="n">
        <f aca="false">VLOOKUP(H515,Lookup!$A$4:$B$6,2,FALSE())</f>
        <v>18</v>
      </c>
    </row>
    <row r="516" customFormat="false" ht="15" hidden="false" customHeight="false" outlineLevel="0" collapsed="false">
      <c r="A516" s="2" t="s">
        <v>625</v>
      </c>
      <c r="B516" s="2" t="s">
        <v>30</v>
      </c>
      <c r="C516" s="3" t="n">
        <v>46290.5528009259</v>
      </c>
      <c r="D516" s="2" t="s">
        <v>17</v>
      </c>
      <c r="E516" s="2" t="n">
        <v>1500</v>
      </c>
      <c r="F516" s="2" t="s">
        <v>18</v>
      </c>
      <c r="G516" s="2"/>
      <c r="H516" s="2" t="str">
        <f aca="false">VLOOKUP(B516,$N$2:$S$41,3,FALSE())</f>
        <v>Model-Z</v>
      </c>
      <c r="I516" s="2" t="str">
        <f aca="false">VLOOKUP(B516,$N$2:$S$41,2,FALSE())</f>
        <v>Москва, Новослободская</v>
      </c>
      <c r="J516" s="2" t="n">
        <f aca="false">IF(F516="success",1,0)</f>
        <v>1</v>
      </c>
      <c r="K516" s="2" t="n">
        <f aca="false">VLOOKUP(H516,Lookup!$A$4:$B$6,2,FALSE())</f>
        <v>16</v>
      </c>
    </row>
    <row r="517" customFormat="false" ht="15" hidden="false" customHeight="false" outlineLevel="0" collapsed="false">
      <c r="A517" s="2" t="s">
        <v>626</v>
      </c>
      <c r="B517" s="2" t="s">
        <v>73</v>
      </c>
      <c r="C517" s="3" t="n">
        <v>46290.5927893519</v>
      </c>
      <c r="D517" s="2" t="s">
        <v>17</v>
      </c>
      <c r="E517" s="2" t="n">
        <v>500</v>
      </c>
      <c r="F517" s="2" t="s">
        <v>18</v>
      </c>
      <c r="G517" s="2"/>
      <c r="H517" s="2" t="str">
        <f aca="false">VLOOKUP(B517,$N$2:$S$41,3,FALSE())</f>
        <v>Model-Y</v>
      </c>
      <c r="I517" s="2" t="str">
        <f aca="false">VLOOKUP(B517,$N$2:$S$41,2,FALSE())</f>
        <v>Казань, Чистопольская</v>
      </c>
      <c r="J517" s="2" t="n">
        <f aca="false">IF(F517="success",1,0)</f>
        <v>1</v>
      </c>
      <c r="K517" s="2" t="n">
        <f aca="false">VLOOKUP(H517,Lookup!$A$4:$B$6,2,FALSE())</f>
        <v>14</v>
      </c>
    </row>
    <row r="518" customFormat="false" ht="15" hidden="false" customHeight="false" outlineLevel="0" collapsed="false">
      <c r="A518" s="2" t="s">
        <v>627</v>
      </c>
      <c r="B518" s="2" t="s">
        <v>93</v>
      </c>
      <c r="C518" s="3" t="n">
        <v>46290.6030439815</v>
      </c>
      <c r="D518" s="2" t="s">
        <v>17</v>
      </c>
      <c r="E518" s="2" t="n">
        <v>1000</v>
      </c>
      <c r="F518" s="2" t="s">
        <v>18</v>
      </c>
      <c r="G518" s="2"/>
      <c r="H518" s="2" t="str">
        <f aca="false">VLOOKUP(B518,$N$2:$S$41,3,FALSE())</f>
        <v>Model-Y</v>
      </c>
      <c r="I518" s="2" t="str">
        <f aca="false">VLOOKUP(B518,$N$2:$S$41,2,FALSE())</f>
        <v>Новосибирск, Ленина</v>
      </c>
      <c r="J518" s="2" t="n">
        <f aca="false">IF(F518="success",1,0)</f>
        <v>1</v>
      </c>
      <c r="K518" s="2" t="n">
        <f aca="false">VLOOKUP(H518,Lookup!$A$4:$B$6,2,FALSE())</f>
        <v>14</v>
      </c>
    </row>
    <row r="519" customFormat="false" ht="15" hidden="false" customHeight="false" outlineLevel="0" collapsed="false">
      <c r="A519" s="2" t="s">
        <v>628</v>
      </c>
      <c r="B519" s="2" t="s">
        <v>139</v>
      </c>
      <c r="C519" s="3" t="n">
        <v>46290.6170833333</v>
      </c>
      <c r="D519" s="2" t="s">
        <v>29</v>
      </c>
      <c r="E519" s="2" t="n">
        <v>0</v>
      </c>
      <c r="F519" s="2" t="s">
        <v>18</v>
      </c>
      <c r="G519" s="2"/>
      <c r="H519" s="2" t="str">
        <f aca="false">VLOOKUP(B519,$N$2:$S$41,3,FALSE())</f>
        <v>Model-X</v>
      </c>
      <c r="I519" s="2" t="str">
        <f aca="false">VLOOKUP(B519,$N$2:$S$41,2,FALSE())</f>
        <v>Воронеж, Революции</v>
      </c>
      <c r="J519" s="2" t="n">
        <f aca="false">IF(F519="success",1,0)</f>
        <v>1</v>
      </c>
      <c r="K519" s="2" t="n">
        <f aca="false">VLOOKUP(H519,Lookup!$A$4:$B$6,2,FALSE())</f>
        <v>18</v>
      </c>
    </row>
    <row r="520" customFormat="false" ht="15" hidden="false" customHeight="false" outlineLevel="0" collapsed="false">
      <c r="A520" s="2" t="s">
        <v>629</v>
      </c>
      <c r="B520" s="2" t="s">
        <v>30</v>
      </c>
      <c r="C520" s="3" t="n">
        <v>46290.7090277778</v>
      </c>
      <c r="D520" s="2" t="s">
        <v>46</v>
      </c>
      <c r="E520" s="2" t="n">
        <v>1000</v>
      </c>
      <c r="F520" s="2" t="s">
        <v>100</v>
      </c>
      <c r="G520" s="2"/>
      <c r="H520" s="2" t="str">
        <f aca="false">VLOOKUP(B520,$N$2:$S$41,3,FALSE())</f>
        <v>Model-Z</v>
      </c>
      <c r="I520" s="2" t="str">
        <f aca="false">VLOOKUP(B520,$N$2:$S$41,2,FALSE())</f>
        <v>Москва, Новослободская</v>
      </c>
      <c r="J520" s="2" t="n">
        <f aca="false">IF(F520="success",1,0)</f>
        <v>0</v>
      </c>
      <c r="K520" s="2" t="n">
        <f aca="false">VLOOKUP(H520,Lookup!$A$4:$B$6,2,FALSE())</f>
        <v>16</v>
      </c>
    </row>
    <row r="521" customFormat="false" ht="15" hidden="false" customHeight="false" outlineLevel="0" collapsed="false">
      <c r="A521" s="2" t="s">
        <v>630</v>
      </c>
      <c r="B521" s="2" t="s">
        <v>58</v>
      </c>
      <c r="C521" s="3" t="n">
        <v>46290.7401273148</v>
      </c>
      <c r="D521" s="2" t="s">
        <v>17</v>
      </c>
      <c r="E521" s="2" t="n">
        <v>500</v>
      </c>
      <c r="F521" s="2" t="s">
        <v>18</v>
      </c>
      <c r="G521" s="2"/>
      <c r="H521" s="2" t="str">
        <f aca="false">VLOOKUP(B521,$N$2:$S$41,3,FALSE())</f>
        <v>Model-Y</v>
      </c>
      <c r="I521" s="2" t="str">
        <f aca="false">VLOOKUP(B521,$N$2:$S$41,2,FALSE())</f>
        <v>Краснодар, Красная</v>
      </c>
      <c r="J521" s="2" t="n">
        <f aca="false">IF(F521="success",1,0)</f>
        <v>1</v>
      </c>
      <c r="K521" s="2" t="n">
        <f aca="false">VLOOKUP(H521,Lookup!$A$4:$B$6,2,FALSE())</f>
        <v>14</v>
      </c>
    </row>
    <row r="522" customFormat="false" ht="15" hidden="false" customHeight="false" outlineLevel="0" collapsed="false">
      <c r="A522" s="2" t="s">
        <v>631</v>
      </c>
      <c r="B522" s="2" t="s">
        <v>103</v>
      </c>
      <c r="C522" s="3" t="n">
        <v>46290.8525925926</v>
      </c>
      <c r="D522" s="2" t="s">
        <v>17</v>
      </c>
      <c r="E522" s="2" t="n">
        <v>7000</v>
      </c>
      <c r="F522" s="2" t="s">
        <v>18</v>
      </c>
      <c r="G522" s="2"/>
      <c r="H522" s="2" t="str">
        <f aca="false">VLOOKUP(B522,$N$2:$S$41,3,FALSE())</f>
        <v>Model-Y</v>
      </c>
      <c r="I522" s="2" t="str">
        <f aca="false">VLOOKUP(B522,$N$2:$S$41,2,FALSE())</f>
        <v>Нижний Новгород, Большая Покровская</v>
      </c>
      <c r="J522" s="2" t="n">
        <f aca="false">IF(F522="success",1,0)</f>
        <v>1</v>
      </c>
      <c r="K522" s="2" t="n">
        <f aca="false">VLOOKUP(H522,Lookup!$A$4:$B$6,2,FALSE())</f>
        <v>14</v>
      </c>
    </row>
    <row r="523" customFormat="false" ht="15" hidden="false" customHeight="false" outlineLevel="0" collapsed="false">
      <c r="A523" s="2" t="s">
        <v>632</v>
      </c>
      <c r="B523" s="2" t="s">
        <v>88</v>
      </c>
      <c r="C523" s="3" t="n">
        <v>46290.8797569444</v>
      </c>
      <c r="D523" s="2" t="s">
        <v>29</v>
      </c>
      <c r="E523" s="2" t="n">
        <v>0</v>
      </c>
      <c r="F523" s="2" t="s">
        <v>18</v>
      </c>
      <c r="G523" s="2"/>
      <c r="H523" s="2" t="str">
        <f aca="false">VLOOKUP(B523,$N$2:$S$41,3,FALSE())</f>
        <v>Model-Z</v>
      </c>
      <c r="I523" s="2" t="str">
        <f aca="false">VLOOKUP(B523,$N$2:$S$41,2,FALSE())</f>
        <v>Екатеринбург, Вайнера</v>
      </c>
      <c r="J523" s="2" t="n">
        <f aca="false">IF(F523="success",1,0)</f>
        <v>1</v>
      </c>
      <c r="K523" s="2" t="n">
        <f aca="false">VLOOKUP(H523,Lookup!$A$4:$B$6,2,FALSE())</f>
        <v>16</v>
      </c>
    </row>
    <row r="524" customFormat="false" ht="15" hidden="false" customHeight="false" outlineLevel="0" collapsed="false">
      <c r="A524" s="2" t="s">
        <v>633</v>
      </c>
      <c r="B524" s="2" t="s">
        <v>96</v>
      </c>
      <c r="C524" s="3" t="n">
        <v>46290.9188078704</v>
      </c>
      <c r="D524" s="2" t="s">
        <v>29</v>
      </c>
      <c r="E524" s="2" t="n">
        <v>0</v>
      </c>
      <c r="F524" s="2" t="s">
        <v>100</v>
      </c>
      <c r="G524" s="2"/>
      <c r="H524" s="2" t="str">
        <f aca="false">VLOOKUP(B524,$N$2:$S$41,3,FALSE())</f>
        <v>Model-X</v>
      </c>
      <c r="I524" s="2" t="str">
        <f aca="false">VLOOKUP(B524,$N$2:$S$41,2,FALSE())</f>
        <v>Нижний Новгород, Белинского</v>
      </c>
      <c r="J524" s="2" t="n">
        <f aca="false">IF(F524="success",1,0)</f>
        <v>0</v>
      </c>
      <c r="K524" s="2" t="n">
        <f aca="false">VLOOKUP(H524,Lookup!$A$4:$B$6,2,FALSE())</f>
        <v>18</v>
      </c>
    </row>
    <row r="525" customFormat="false" ht="15" hidden="false" customHeight="false" outlineLevel="0" collapsed="false">
      <c r="A525" s="2" t="s">
        <v>634</v>
      </c>
      <c r="B525" s="2" t="s">
        <v>97</v>
      </c>
      <c r="C525" s="3" t="n">
        <v>46290.9352430556</v>
      </c>
      <c r="D525" s="2" t="s">
        <v>17</v>
      </c>
      <c r="E525" s="2" t="n">
        <v>10000</v>
      </c>
      <c r="F525" s="2" t="s">
        <v>18</v>
      </c>
      <c r="G525" s="2"/>
      <c r="H525" s="2" t="str">
        <f aca="false">VLOOKUP(B525,$N$2:$S$41,3,FALSE())</f>
        <v>Model-X</v>
      </c>
      <c r="I525" s="2" t="str">
        <f aca="false">VLOOKUP(B525,$N$2:$S$41,2,FALSE())</f>
        <v>Новосибирск, Гоголя</v>
      </c>
      <c r="J525" s="2" t="n">
        <f aca="false">IF(F525="success",1,0)</f>
        <v>1</v>
      </c>
      <c r="K525" s="2" t="n">
        <f aca="false">VLOOKUP(H525,Lookup!$A$4:$B$6,2,FALSE())</f>
        <v>18</v>
      </c>
    </row>
    <row r="526" customFormat="false" ht="15" hidden="false" customHeight="false" outlineLevel="0" collapsed="false">
      <c r="A526" s="2" t="s">
        <v>635</v>
      </c>
      <c r="B526" s="2" t="s">
        <v>103</v>
      </c>
      <c r="C526" s="3" t="n">
        <v>46290.9545833333</v>
      </c>
      <c r="D526" s="2" t="s">
        <v>17</v>
      </c>
      <c r="E526" s="2" t="n">
        <v>500</v>
      </c>
      <c r="F526" s="2" t="s">
        <v>18</v>
      </c>
      <c r="G526" s="2"/>
      <c r="H526" s="2" t="str">
        <f aca="false">VLOOKUP(B526,$N$2:$S$41,3,FALSE())</f>
        <v>Model-Y</v>
      </c>
      <c r="I526" s="2" t="str">
        <f aca="false">VLOOKUP(B526,$N$2:$S$41,2,FALSE())</f>
        <v>Нижний Новгород, Большая Покровская</v>
      </c>
      <c r="J526" s="2" t="n">
        <f aca="false">IF(F526="success",1,0)</f>
        <v>1</v>
      </c>
      <c r="K526" s="2" t="n">
        <f aca="false">VLOOKUP(H526,Lookup!$A$4:$B$6,2,FALSE())</f>
        <v>14</v>
      </c>
    </row>
    <row r="527" customFormat="false" ht="15" hidden="false" customHeight="false" outlineLevel="0" collapsed="false">
      <c r="A527" s="2" t="s">
        <v>636</v>
      </c>
      <c r="B527" s="2" t="s">
        <v>45</v>
      </c>
      <c r="C527" s="3" t="n">
        <v>46291.0804166667</v>
      </c>
      <c r="D527" s="2" t="s">
        <v>17</v>
      </c>
      <c r="E527" s="2" t="n">
        <v>2000</v>
      </c>
      <c r="F527" s="2" t="s">
        <v>18</v>
      </c>
      <c r="G527" s="2"/>
      <c r="H527" s="2" t="str">
        <f aca="false">VLOOKUP(B527,$N$2:$S$41,3,FALSE())</f>
        <v>Model-Y</v>
      </c>
      <c r="I527" s="2" t="str">
        <f aca="false">VLOOKUP(B527,$N$2:$S$41,2,FALSE())</f>
        <v>Воронеж, Плехановская</v>
      </c>
      <c r="J527" s="2" t="n">
        <f aca="false">IF(F527="success",1,0)</f>
        <v>1</v>
      </c>
      <c r="K527" s="2" t="n">
        <f aca="false">VLOOKUP(H527,Lookup!$A$4:$B$6,2,FALSE())</f>
        <v>14</v>
      </c>
    </row>
    <row r="528" customFormat="false" ht="15" hidden="false" customHeight="false" outlineLevel="0" collapsed="false">
      <c r="A528" s="2" t="s">
        <v>637</v>
      </c>
      <c r="B528" s="2" t="s">
        <v>45</v>
      </c>
      <c r="C528" s="3" t="n">
        <v>46291.1408333333</v>
      </c>
      <c r="D528" s="2" t="s">
        <v>17</v>
      </c>
      <c r="E528" s="2" t="n">
        <v>10000</v>
      </c>
      <c r="F528" s="2" t="s">
        <v>18</v>
      </c>
      <c r="G528" s="2"/>
      <c r="H528" s="2" t="str">
        <f aca="false">VLOOKUP(B528,$N$2:$S$41,3,FALSE())</f>
        <v>Model-Y</v>
      </c>
      <c r="I528" s="2" t="str">
        <f aca="false">VLOOKUP(B528,$N$2:$S$41,2,FALSE())</f>
        <v>Воронеж, Плехановская</v>
      </c>
      <c r="J528" s="2" t="n">
        <f aca="false">IF(F528="success",1,0)</f>
        <v>1</v>
      </c>
      <c r="K528" s="2" t="n">
        <f aca="false">VLOOKUP(H528,Lookup!$A$4:$B$6,2,FALSE())</f>
        <v>14</v>
      </c>
    </row>
    <row r="529" customFormat="false" ht="15" hidden="false" customHeight="false" outlineLevel="0" collapsed="false">
      <c r="A529" s="2" t="s">
        <v>638</v>
      </c>
      <c r="B529" s="2" t="s">
        <v>118</v>
      </c>
      <c r="C529" s="3" t="n">
        <v>46291.3268981482</v>
      </c>
      <c r="D529" s="2" t="s">
        <v>17</v>
      </c>
      <c r="E529" s="2" t="n">
        <v>3000</v>
      </c>
      <c r="F529" s="2" t="s">
        <v>18</v>
      </c>
      <c r="G529" s="2"/>
      <c r="H529" s="2" t="str">
        <f aca="false">VLOOKUP(B529,$N$2:$S$41,3,FALSE())</f>
        <v>Model-X</v>
      </c>
      <c r="I529" s="2" t="str">
        <f aca="false">VLOOKUP(B529,$N$2:$S$41,2,FALSE())</f>
        <v>Самара, Молодогвардейская</v>
      </c>
      <c r="J529" s="2" t="n">
        <f aca="false">IF(F529="success",1,0)</f>
        <v>1</v>
      </c>
      <c r="K529" s="2" t="n">
        <f aca="false">VLOOKUP(H529,Lookup!$A$4:$B$6,2,FALSE())</f>
        <v>18</v>
      </c>
    </row>
    <row r="530" customFormat="false" ht="15" hidden="false" customHeight="false" outlineLevel="0" collapsed="false">
      <c r="A530" s="2" t="s">
        <v>639</v>
      </c>
      <c r="B530" s="2" t="s">
        <v>39</v>
      </c>
      <c r="C530" s="3" t="n">
        <v>46291.3358217593</v>
      </c>
      <c r="D530" s="2" t="s">
        <v>17</v>
      </c>
      <c r="E530" s="2" t="n">
        <v>2000</v>
      </c>
      <c r="F530" s="2" t="s">
        <v>18</v>
      </c>
      <c r="G530" s="2"/>
      <c r="H530" s="2" t="str">
        <f aca="false">VLOOKUP(B530,$N$2:$S$41,3,FALSE())</f>
        <v>Model-Y</v>
      </c>
      <c r="I530" s="2" t="str">
        <f aca="false">VLOOKUP(B530,$N$2:$S$41,2,FALSE())</f>
        <v>Москва, Кутузовский пр-т</v>
      </c>
      <c r="J530" s="2" t="n">
        <f aca="false">IF(F530="success",1,0)</f>
        <v>1</v>
      </c>
      <c r="K530" s="2" t="n">
        <f aca="false">VLOOKUP(H530,Lookup!$A$4:$B$6,2,FALSE())</f>
        <v>14</v>
      </c>
    </row>
    <row r="531" customFormat="false" ht="15" hidden="false" customHeight="false" outlineLevel="0" collapsed="false">
      <c r="A531" s="2" t="s">
        <v>640</v>
      </c>
      <c r="B531" s="2" t="s">
        <v>118</v>
      </c>
      <c r="C531" s="3" t="n">
        <v>46291.46375</v>
      </c>
      <c r="D531" s="2" t="s">
        <v>17</v>
      </c>
      <c r="E531" s="2" t="n">
        <v>2000</v>
      </c>
      <c r="F531" s="2" t="s">
        <v>76</v>
      </c>
      <c r="G531" s="2" t="s">
        <v>77</v>
      </c>
      <c r="H531" s="2" t="str">
        <f aca="false">VLOOKUP(B531,$N$2:$S$41,3,FALSE())</f>
        <v>Model-X</v>
      </c>
      <c r="I531" s="2" t="str">
        <f aca="false">VLOOKUP(B531,$N$2:$S$41,2,FALSE())</f>
        <v>Самара, Молодогвардейская</v>
      </c>
      <c r="J531" s="2" t="n">
        <f aca="false">IF(F531="success",1,0)</f>
        <v>0</v>
      </c>
      <c r="K531" s="2" t="n">
        <f aca="false">VLOOKUP(H531,Lookup!$A$4:$B$6,2,FALSE())</f>
        <v>18</v>
      </c>
    </row>
    <row r="532" customFormat="false" ht="15" hidden="false" customHeight="false" outlineLevel="0" collapsed="false">
      <c r="A532" s="2" t="s">
        <v>641</v>
      </c>
      <c r="B532" s="2" t="s">
        <v>16</v>
      </c>
      <c r="C532" s="3" t="n">
        <v>46291.4878472222</v>
      </c>
      <c r="D532" s="2" t="s">
        <v>17</v>
      </c>
      <c r="E532" s="2" t="n">
        <v>7000</v>
      </c>
      <c r="F532" s="2" t="s">
        <v>18</v>
      </c>
      <c r="G532" s="2"/>
      <c r="H532" s="2" t="str">
        <f aca="false">VLOOKUP(B532,$N$2:$S$41,3,FALSE())</f>
        <v>Model-X</v>
      </c>
      <c r="I532" s="2" t="str">
        <f aca="false">VLOOKUP(B532,$N$2:$S$41,2,FALSE())</f>
        <v>Москва, Тверская</v>
      </c>
      <c r="J532" s="2" t="n">
        <f aca="false">IF(F532="success",1,0)</f>
        <v>1</v>
      </c>
      <c r="K532" s="2" t="n">
        <f aca="false">VLOOKUP(H532,Lookup!$A$4:$B$6,2,FALSE())</f>
        <v>18</v>
      </c>
    </row>
    <row r="533" customFormat="false" ht="15" hidden="false" customHeight="false" outlineLevel="0" collapsed="false">
      <c r="A533" s="2" t="s">
        <v>642</v>
      </c>
      <c r="B533" s="2" t="s">
        <v>97</v>
      </c>
      <c r="C533" s="3" t="n">
        <v>46291.5144097222</v>
      </c>
      <c r="D533" s="2" t="s">
        <v>17</v>
      </c>
      <c r="E533" s="2" t="n">
        <v>1500</v>
      </c>
      <c r="F533" s="2" t="s">
        <v>18</v>
      </c>
      <c r="G533" s="2"/>
      <c r="H533" s="2" t="str">
        <f aca="false">VLOOKUP(B533,$N$2:$S$41,3,FALSE())</f>
        <v>Model-X</v>
      </c>
      <c r="I533" s="2" t="str">
        <f aca="false">VLOOKUP(B533,$N$2:$S$41,2,FALSE())</f>
        <v>Новосибирск, Гоголя</v>
      </c>
      <c r="J533" s="2" t="n">
        <f aca="false">IF(F533="success",1,0)</f>
        <v>1</v>
      </c>
      <c r="K533" s="2" t="n">
        <f aca="false">VLOOKUP(H533,Lookup!$A$4:$B$6,2,FALSE())</f>
        <v>18</v>
      </c>
    </row>
    <row r="534" customFormat="false" ht="15" hidden="false" customHeight="false" outlineLevel="0" collapsed="false">
      <c r="A534" s="2" t="s">
        <v>643</v>
      </c>
      <c r="B534" s="2" t="s">
        <v>125</v>
      </c>
      <c r="C534" s="3" t="n">
        <v>46291.6131365741</v>
      </c>
      <c r="D534" s="2" t="s">
        <v>29</v>
      </c>
      <c r="E534" s="2" t="n">
        <v>0</v>
      </c>
      <c r="F534" s="2" t="s">
        <v>100</v>
      </c>
      <c r="G534" s="2"/>
      <c r="H534" s="2" t="str">
        <f aca="false">VLOOKUP(B534,$N$2:$S$41,3,FALSE())</f>
        <v>Model-X</v>
      </c>
      <c r="I534" s="2" t="str">
        <f aca="false">VLOOKUP(B534,$N$2:$S$41,2,FALSE())</f>
        <v>Ростов-на-Дону, Пушкинская</v>
      </c>
      <c r="J534" s="2" t="n">
        <f aca="false">IF(F534="success",1,0)</f>
        <v>0</v>
      </c>
      <c r="K534" s="2" t="n">
        <f aca="false">VLOOKUP(H534,Lookup!$A$4:$B$6,2,FALSE())</f>
        <v>18</v>
      </c>
    </row>
    <row r="535" customFormat="false" ht="15" hidden="false" customHeight="false" outlineLevel="0" collapsed="false">
      <c r="A535" s="2" t="s">
        <v>644</v>
      </c>
      <c r="B535" s="2" t="s">
        <v>88</v>
      </c>
      <c r="C535" s="3" t="n">
        <v>46291.6780439815</v>
      </c>
      <c r="D535" s="2" t="s">
        <v>17</v>
      </c>
      <c r="E535" s="2" t="n">
        <v>15000</v>
      </c>
      <c r="F535" s="2" t="s">
        <v>18</v>
      </c>
      <c r="G535" s="2"/>
      <c r="H535" s="2" t="str">
        <f aca="false">VLOOKUP(B535,$N$2:$S$41,3,FALSE())</f>
        <v>Model-Z</v>
      </c>
      <c r="I535" s="2" t="str">
        <f aca="false">VLOOKUP(B535,$N$2:$S$41,2,FALSE())</f>
        <v>Екатеринбург, Вайнера</v>
      </c>
      <c r="J535" s="2" t="n">
        <f aca="false">IF(F535="success",1,0)</f>
        <v>1</v>
      </c>
      <c r="K535" s="2" t="n">
        <f aca="false">VLOOKUP(H535,Lookup!$A$4:$B$6,2,FALSE())</f>
        <v>16</v>
      </c>
    </row>
    <row r="536" customFormat="false" ht="15" hidden="false" customHeight="false" outlineLevel="0" collapsed="false">
      <c r="A536" s="2" t="s">
        <v>645</v>
      </c>
      <c r="B536" s="2" t="s">
        <v>24</v>
      </c>
      <c r="C536" s="3" t="n">
        <v>46291.708125</v>
      </c>
      <c r="D536" s="2" t="s">
        <v>17</v>
      </c>
      <c r="E536" s="2" t="n">
        <v>7000</v>
      </c>
      <c r="F536" s="2" t="s">
        <v>18</v>
      </c>
      <c r="G536" s="2"/>
      <c r="H536" s="2" t="str">
        <f aca="false">VLOOKUP(B536,$N$2:$S$41,3,FALSE())</f>
        <v>Model-Y</v>
      </c>
      <c r="I536" s="2" t="str">
        <f aca="false">VLOOKUP(B536,$N$2:$S$41,2,FALSE())</f>
        <v>Москва, Арбат</v>
      </c>
      <c r="J536" s="2" t="n">
        <f aca="false">IF(F536="success",1,0)</f>
        <v>1</v>
      </c>
      <c r="K536" s="2" t="n">
        <f aca="false">VLOOKUP(H536,Lookup!$A$4:$B$6,2,FALSE())</f>
        <v>14</v>
      </c>
    </row>
    <row r="537" customFormat="false" ht="15" hidden="false" customHeight="false" outlineLevel="0" collapsed="false">
      <c r="A537" s="2" t="s">
        <v>646</v>
      </c>
      <c r="B537" s="2" t="s">
        <v>69</v>
      </c>
      <c r="C537" s="3" t="n">
        <v>46291.7370023148</v>
      </c>
      <c r="D537" s="2" t="s">
        <v>17</v>
      </c>
      <c r="E537" s="2" t="n">
        <v>1500</v>
      </c>
      <c r="F537" s="2" t="s">
        <v>18</v>
      </c>
      <c r="G537" s="2"/>
      <c r="H537" s="2" t="str">
        <f aca="false">VLOOKUP(B537,$N$2:$S$41,3,FALSE())</f>
        <v>Model-X</v>
      </c>
      <c r="I537" s="2" t="str">
        <f aca="false">VLOOKUP(B537,$N$2:$S$41,2,FALSE())</f>
        <v>Казань, Пушкина</v>
      </c>
      <c r="J537" s="2" t="n">
        <f aca="false">IF(F537="success",1,0)</f>
        <v>1</v>
      </c>
      <c r="K537" s="2" t="n">
        <f aca="false">VLOOKUP(H537,Lookup!$A$4:$B$6,2,FALSE())</f>
        <v>18</v>
      </c>
    </row>
    <row r="538" customFormat="false" ht="15" hidden="false" customHeight="false" outlineLevel="0" collapsed="false">
      <c r="A538" s="2" t="s">
        <v>647</v>
      </c>
      <c r="B538" s="2" t="s">
        <v>78</v>
      </c>
      <c r="C538" s="3" t="n">
        <v>46291.7804282407</v>
      </c>
      <c r="D538" s="2" t="s">
        <v>29</v>
      </c>
      <c r="E538" s="2" t="n">
        <v>0</v>
      </c>
      <c r="F538" s="2" t="s">
        <v>76</v>
      </c>
      <c r="G538" s="2" t="s">
        <v>160</v>
      </c>
      <c r="H538" s="2" t="str">
        <f aca="false">VLOOKUP(B538,$N$2:$S$41,3,FALSE())</f>
        <v>Model-Z</v>
      </c>
      <c r="I538" s="2" t="str">
        <f aca="false">VLOOKUP(B538,$N$2:$S$41,2,FALSE())</f>
        <v>Екатеринбург, Ленина</v>
      </c>
      <c r="J538" s="2" t="n">
        <f aca="false">IF(F538="success",1,0)</f>
        <v>0</v>
      </c>
      <c r="K538" s="2" t="n">
        <f aca="false">VLOOKUP(H538,Lookup!$A$4:$B$6,2,FALSE())</f>
        <v>16</v>
      </c>
    </row>
    <row r="539" customFormat="false" ht="15" hidden="false" customHeight="false" outlineLevel="0" collapsed="false">
      <c r="A539" s="2" t="s">
        <v>648</v>
      </c>
      <c r="B539" s="2" t="s">
        <v>58</v>
      </c>
      <c r="C539" s="3" t="n">
        <v>46291.7979513889</v>
      </c>
      <c r="D539" s="2" t="s">
        <v>17</v>
      </c>
      <c r="E539" s="2" t="n">
        <v>5000</v>
      </c>
      <c r="F539" s="2" t="s">
        <v>18</v>
      </c>
      <c r="G539" s="2"/>
      <c r="H539" s="2" t="str">
        <f aca="false">VLOOKUP(B539,$N$2:$S$41,3,FALSE())</f>
        <v>Model-Y</v>
      </c>
      <c r="I539" s="2" t="str">
        <f aca="false">VLOOKUP(B539,$N$2:$S$41,2,FALSE())</f>
        <v>Краснодар, Красная</v>
      </c>
      <c r="J539" s="2" t="n">
        <f aca="false">IF(F539="success",1,0)</f>
        <v>1</v>
      </c>
      <c r="K539" s="2" t="n">
        <f aca="false">VLOOKUP(H539,Lookup!$A$4:$B$6,2,FALSE())</f>
        <v>14</v>
      </c>
    </row>
    <row r="540" customFormat="false" ht="15" hidden="false" customHeight="false" outlineLevel="0" collapsed="false">
      <c r="A540" s="2" t="s">
        <v>649</v>
      </c>
      <c r="B540" s="2" t="s">
        <v>35</v>
      </c>
      <c r="C540" s="3" t="n">
        <v>46291.8177777778</v>
      </c>
      <c r="D540" s="2" t="s">
        <v>65</v>
      </c>
      <c r="E540" s="2" t="n">
        <v>3000</v>
      </c>
      <c r="F540" s="2" t="s">
        <v>18</v>
      </c>
      <c r="G540" s="2"/>
      <c r="H540" s="2" t="str">
        <f aca="false">VLOOKUP(B540,$N$2:$S$41,3,FALSE())</f>
        <v>Model-X</v>
      </c>
      <c r="I540" s="2" t="str">
        <f aca="false">VLOOKUP(B540,$N$2:$S$41,2,FALSE())</f>
        <v>Москва, Ленинградский пр-т</v>
      </c>
      <c r="J540" s="2" t="n">
        <f aca="false">IF(F540="success",1,0)</f>
        <v>1</v>
      </c>
      <c r="K540" s="2" t="n">
        <f aca="false">VLOOKUP(H540,Lookup!$A$4:$B$6,2,FALSE())</f>
        <v>18</v>
      </c>
    </row>
    <row r="541" customFormat="false" ht="15" hidden="false" customHeight="false" outlineLevel="0" collapsed="false">
      <c r="A541" s="2" t="s">
        <v>650</v>
      </c>
      <c r="B541" s="2" t="s">
        <v>42</v>
      </c>
      <c r="C541" s="3" t="n">
        <v>46291.8269791667</v>
      </c>
      <c r="D541" s="2" t="s">
        <v>17</v>
      </c>
      <c r="E541" s="2" t="n">
        <v>15000</v>
      </c>
      <c r="F541" s="2" t="s">
        <v>18</v>
      </c>
      <c r="G541" s="2"/>
      <c r="H541" s="2" t="str">
        <f aca="false">VLOOKUP(B541,$N$2:$S$41,3,FALSE())</f>
        <v>Model-X</v>
      </c>
      <c r="I541" s="2" t="str">
        <f aca="false">VLOOKUP(B541,$N$2:$S$41,2,FALSE())</f>
        <v>Краснодар, Гимназическая</v>
      </c>
      <c r="J541" s="2" t="n">
        <f aca="false">IF(F541="success",1,0)</f>
        <v>1</v>
      </c>
      <c r="K541" s="2" t="n">
        <f aca="false">VLOOKUP(H541,Lookup!$A$4:$B$6,2,FALSE())</f>
        <v>18</v>
      </c>
    </row>
    <row r="542" customFormat="false" ht="15" hidden="false" customHeight="false" outlineLevel="0" collapsed="false">
      <c r="A542" s="2" t="s">
        <v>651</v>
      </c>
      <c r="B542" s="2" t="s">
        <v>93</v>
      </c>
      <c r="C542" s="3" t="n">
        <v>46291.8569444444</v>
      </c>
      <c r="D542" s="2" t="s">
        <v>29</v>
      </c>
      <c r="E542" s="2" t="n">
        <v>0</v>
      </c>
      <c r="F542" s="2" t="s">
        <v>18</v>
      </c>
      <c r="G542" s="2"/>
      <c r="H542" s="2" t="str">
        <f aca="false">VLOOKUP(B542,$N$2:$S$41,3,FALSE())</f>
        <v>Model-Y</v>
      </c>
      <c r="I542" s="2" t="str">
        <f aca="false">VLOOKUP(B542,$N$2:$S$41,2,FALSE())</f>
        <v>Новосибирск, Ленина</v>
      </c>
      <c r="J542" s="2" t="n">
        <f aca="false">IF(F542="success",1,0)</f>
        <v>1</v>
      </c>
      <c r="K542" s="2" t="n">
        <f aca="false">VLOOKUP(H542,Lookup!$A$4:$B$6,2,FALSE())</f>
        <v>14</v>
      </c>
    </row>
    <row r="543" customFormat="false" ht="15" hidden="false" customHeight="false" outlineLevel="0" collapsed="false">
      <c r="A543" s="2" t="s">
        <v>652</v>
      </c>
      <c r="B543" s="2" t="s">
        <v>58</v>
      </c>
      <c r="C543" s="3" t="n">
        <v>46291.86875</v>
      </c>
      <c r="D543" s="2" t="s">
        <v>29</v>
      </c>
      <c r="E543" s="2" t="n">
        <v>0</v>
      </c>
      <c r="F543" s="2" t="s">
        <v>18</v>
      </c>
      <c r="G543" s="2"/>
      <c r="H543" s="2" t="str">
        <f aca="false">VLOOKUP(B543,$N$2:$S$41,3,FALSE())</f>
        <v>Model-Y</v>
      </c>
      <c r="I543" s="2" t="str">
        <f aca="false">VLOOKUP(B543,$N$2:$S$41,2,FALSE())</f>
        <v>Краснодар, Красная</v>
      </c>
      <c r="J543" s="2" t="n">
        <f aca="false">IF(F543="success",1,0)</f>
        <v>1</v>
      </c>
      <c r="K543" s="2" t="n">
        <f aca="false">VLOOKUP(H543,Lookup!$A$4:$B$6,2,FALSE())</f>
        <v>14</v>
      </c>
    </row>
    <row r="544" customFormat="false" ht="15" hidden="false" customHeight="false" outlineLevel="0" collapsed="false">
      <c r="A544" s="2" t="s">
        <v>653</v>
      </c>
      <c r="B544" s="2" t="s">
        <v>38</v>
      </c>
      <c r="C544" s="3" t="n">
        <v>46291.9278009259</v>
      </c>
      <c r="D544" s="2" t="s">
        <v>17</v>
      </c>
      <c r="E544" s="2" t="n">
        <v>5000</v>
      </c>
      <c r="F544" s="2" t="s">
        <v>18</v>
      </c>
      <c r="G544" s="2"/>
      <c r="H544" s="2" t="str">
        <f aca="false">VLOOKUP(B544,$N$2:$S$41,3,FALSE())</f>
        <v>Model-Z</v>
      </c>
      <c r="I544" s="2" t="str">
        <f aca="false">VLOOKUP(B544,$N$2:$S$41,2,FALSE())</f>
        <v>Казань, Кремлёвская</v>
      </c>
      <c r="J544" s="2" t="n">
        <f aca="false">IF(F544="success",1,0)</f>
        <v>1</v>
      </c>
      <c r="K544" s="2" t="n">
        <f aca="false">VLOOKUP(H544,Lookup!$A$4:$B$6,2,FALSE())</f>
        <v>16</v>
      </c>
    </row>
    <row r="545" customFormat="false" ht="15" hidden="false" customHeight="false" outlineLevel="0" collapsed="false">
      <c r="A545" s="2" t="s">
        <v>654</v>
      </c>
      <c r="B545" s="2" t="s">
        <v>39</v>
      </c>
      <c r="C545" s="3" t="n">
        <v>46292.0136111111</v>
      </c>
      <c r="D545" s="2" t="s">
        <v>17</v>
      </c>
      <c r="E545" s="2" t="n">
        <v>2000</v>
      </c>
      <c r="F545" s="2" t="s">
        <v>18</v>
      </c>
      <c r="G545" s="2"/>
      <c r="H545" s="2" t="str">
        <f aca="false">VLOOKUP(B545,$N$2:$S$41,3,FALSE())</f>
        <v>Model-Y</v>
      </c>
      <c r="I545" s="2" t="str">
        <f aca="false">VLOOKUP(B545,$N$2:$S$41,2,FALSE())</f>
        <v>Москва, Кутузовский пр-т</v>
      </c>
      <c r="J545" s="2" t="n">
        <f aca="false">IF(F545="success",1,0)</f>
        <v>1</v>
      </c>
      <c r="K545" s="2" t="n">
        <f aca="false">VLOOKUP(H545,Lookup!$A$4:$B$6,2,FALSE())</f>
        <v>14</v>
      </c>
    </row>
    <row r="546" customFormat="false" ht="15" hidden="false" customHeight="false" outlineLevel="0" collapsed="false">
      <c r="A546" s="2" t="s">
        <v>655</v>
      </c>
      <c r="B546" s="2" t="s">
        <v>130</v>
      </c>
      <c r="C546" s="3" t="n">
        <v>46292.0444444444</v>
      </c>
      <c r="D546" s="2" t="s">
        <v>17</v>
      </c>
      <c r="E546" s="2" t="n">
        <v>1500</v>
      </c>
      <c r="F546" s="2" t="s">
        <v>18</v>
      </c>
      <c r="G546" s="2"/>
      <c r="H546" s="2" t="str">
        <f aca="false">VLOOKUP(B546,$N$2:$S$41,3,FALSE())</f>
        <v>Model-Z</v>
      </c>
      <c r="I546" s="2" t="str">
        <f aca="false">VLOOKUP(B546,$N$2:$S$41,2,FALSE())</f>
        <v>Краснодар, Северная</v>
      </c>
      <c r="J546" s="2" t="n">
        <f aca="false">IF(F546="success",1,0)</f>
        <v>1</v>
      </c>
      <c r="K546" s="2" t="n">
        <f aca="false">VLOOKUP(H546,Lookup!$A$4:$B$6,2,FALSE())</f>
        <v>16</v>
      </c>
    </row>
    <row r="547" customFormat="false" ht="15" hidden="false" customHeight="false" outlineLevel="0" collapsed="false">
      <c r="A547" s="2" t="s">
        <v>656</v>
      </c>
      <c r="B547" s="2" t="s">
        <v>130</v>
      </c>
      <c r="C547" s="3" t="n">
        <v>46292.1298611111</v>
      </c>
      <c r="D547" s="2" t="s">
        <v>29</v>
      </c>
      <c r="E547" s="2" t="n">
        <v>0</v>
      </c>
      <c r="F547" s="2" t="s">
        <v>18</v>
      </c>
      <c r="G547" s="2"/>
      <c r="H547" s="2" t="str">
        <f aca="false">VLOOKUP(B547,$N$2:$S$41,3,FALSE())</f>
        <v>Model-Z</v>
      </c>
      <c r="I547" s="2" t="str">
        <f aca="false">VLOOKUP(B547,$N$2:$S$41,2,FALSE())</f>
        <v>Краснодар, Северная</v>
      </c>
      <c r="J547" s="2" t="n">
        <f aca="false">IF(F547="success",1,0)</f>
        <v>1</v>
      </c>
      <c r="K547" s="2" t="n">
        <f aca="false">VLOOKUP(H547,Lookup!$A$4:$B$6,2,FALSE())</f>
        <v>16</v>
      </c>
    </row>
    <row r="548" customFormat="false" ht="15" hidden="false" customHeight="false" outlineLevel="0" collapsed="false">
      <c r="A548" s="2" t="s">
        <v>657</v>
      </c>
      <c r="B548" s="2" t="s">
        <v>139</v>
      </c>
      <c r="C548" s="3" t="n">
        <v>46292.2854166667</v>
      </c>
      <c r="D548" s="2" t="s">
        <v>17</v>
      </c>
      <c r="E548" s="2" t="n">
        <v>1500</v>
      </c>
      <c r="F548" s="2" t="s">
        <v>18</v>
      </c>
      <c r="G548" s="2"/>
      <c r="H548" s="2" t="str">
        <f aca="false">VLOOKUP(B548,$N$2:$S$41,3,FALSE())</f>
        <v>Model-X</v>
      </c>
      <c r="I548" s="2" t="str">
        <f aca="false">VLOOKUP(B548,$N$2:$S$41,2,FALSE())</f>
        <v>Воронеж, Революции</v>
      </c>
      <c r="J548" s="2" t="n">
        <f aca="false">IF(F548="success",1,0)</f>
        <v>1</v>
      </c>
      <c r="K548" s="2" t="n">
        <f aca="false">VLOOKUP(H548,Lookup!$A$4:$B$6,2,FALSE())</f>
        <v>18</v>
      </c>
    </row>
    <row r="549" customFormat="false" ht="15" hidden="false" customHeight="false" outlineLevel="0" collapsed="false">
      <c r="A549" s="2" t="s">
        <v>658</v>
      </c>
      <c r="B549" s="2" t="s">
        <v>38</v>
      </c>
      <c r="C549" s="3" t="n">
        <v>46292.3089699074</v>
      </c>
      <c r="D549" s="2" t="s">
        <v>29</v>
      </c>
      <c r="E549" s="2" t="n">
        <v>0</v>
      </c>
      <c r="F549" s="2" t="s">
        <v>100</v>
      </c>
      <c r="G549" s="2"/>
      <c r="H549" s="2" t="str">
        <f aca="false">VLOOKUP(B549,$N$2:$S$41,3,FALSE())</f>
        <v>Model-Z</v>
      </c>
      <c r="I549" s="2" t="str">
        <f aca="false">VLOOKUP(B549,$N$2:$S$41,2,FALSE())</f>
        <v>Казань, Кремлёвская</v>
      </c>
      <c r="J549" s="2" t="n">
        <f aca="false">IF(F549="success",1,0)</f>
        <v>0</v>
      </c>
      <c r="K549" s="2" t="n">
        <f aca="false">VLOOKUP(H549,Lookup!$A$4:$B$6,2,FALSE())</f>
        <v>16</v>
      </c>
    </row>
    <row r="550" customFormat="false" ht="15" hidden="false" customHeight="false" outlineLevel="0" collapsed="false">
      <c r="A550" s="2" t="s">
        <v>659</v>
      </c>
      <c r="B550" s="2" t="s">
        <v>16</v>
      </c>
      <c r="C550" s="3" t="n">
        <v>46292.3220601852</v>
      </c>
      <c r="D550" s="2" t="s">
        <v>17</v>
      </c>
      <c r="E550" s="2" t="n">
        <v>10000</v>
      </c>
      <c r="F550" s="2" t="s">
        <v>18</v>
      </c>
      <c r="G550" s="2"/>
      <c r="H550" s="2" t="str">
        <f aca="false">VLOOKUP(B550,$N$2:$S$41,3,FALSE())</f>
        <v>Model-X</v>
      </c>
      <c r="I550" s="2" t="str">
        <f aca="false">VLOOKUP(B550,$N$2:$S$41,2,FALSE())</f>
        <v>Москва, Тверская</v>
      </c>
      <c r="J550" s="2" t="n">
        <f aca="false">IF(F550="success",1,0)</f>
        <v>1</v>
      </c>
      <c r="K550" s="2" t="n">
        <f aca="false">VLOOKUP(H550,Lookup!$A$4:$B$6,2,FALSE())</f>
        <v>18</v>
      </c>
    </row>
    <row r="551" customFormat="false" ht="15" hidden="false" customHeight="false" outlineLevel="0" collapsed="false">
      <c r="A551" s="2" t="s">
        <v>660</v>
      </c>
      <c r="B551" s="2" t="s">
        <v>23</v>
      </c>
      <c r="C551" s="3" t="n">
        <v>46292.3405555556</v>
      </c>
      <c r="D551" s="2" t="s">
        <v>17</v>
      </c>
      <c r="E551" s="2" t="n">
        <v>5000</v>
      </c>
      <c r="F551" s="2" t="s">
        <v>18</v>
      </c>
      <c r="G551" s="2"/>
      <c r="H551" s="2" t="str">
        <f aca="false">VLOOKUP(B551,$N$2:$S$41,3,FALSE())</f>
        <v>Model-X</v>
      </c>
      <c r="I551" s="2" t="str">
        <f aca="false">VLOOKUP(B551,$N$2:$S$41,2,FALSE())</f>
        <v>Воронеж, Кольцовская</v>
      </c>
      <c r="J551" s="2" t="n">
        <f aca="false">IF(F551="success",1,0)</f>
        <v>1</v>
      </c>
      <c r="K551" s="2" t="n">
        <f aca="false">VLOOKUP(H551,Lookup!$A$4:$B$6,2,FALSE())</f>
        <v>18</v>
      </c>
    </row>
    <row r="552" customFormat="false" ht="15" hidden="false" customHeight="false" outlineLevel="0" collapsed="false">
      <c r="A552" s="2" t="s">
        <v>661</v>
      </c>
      <c r="B552" s="2" t="s">
        <v>34</v>
      </c>
      <c r="C552" s="3" t="n">
        <v>46292.3420486111</v>
      </c>
      <c r="D552" s="2" t="s">
        <v>17</v>
      </c>
      <c r="E552" s="2" t="n">
        <v>2000</v>
      </c>
      <c r="F552" s="2" t="s">
        <v>18</v>
      </c>
      <c r="G552" s="2"/>
      <c r="H552" s="2" t="str">
        <f aca="false">VLOOKUP(B552,$N$2:$S$41,3,FALSE())</f>
        <v>Model-X</v>
      </c>
      <c r="I552" s="2" t="str">
        <f aca="false">VLOOKUP(B552,$N$2:$S$41,2,FALSE())</f>
        <v>Москва, Профсоюзная</v>
      </c>
      <c r="J552" s="2" t="n">
        <f aca="false">IF(F552="success",1,0)</f>
        <v>1</v>
      </c>
      <c r="K552" s="2" t="n">
        <f aca="false">VLOOKUP(H552,Lookup!$A$4:$B$6,2,FALSE())</f>
        <v>18</v>
      </c>
    </row>
    <row r="553" customFormat="false" ht="15" hidden="false" customHeight="false" outlineLevel="0" collapsed="false">
      <c r="A553" s="2" t="s">
        <v>662</v>
      </c>
      <c r="B553" s="2" t="s">
        <v>88</v>
      </c>
      <c r="C553" s="3" t="n">
        <v>46292.3562731482</v>
      </c>
      <c r="D553" s="2" t="s">
        <v>17</v>
      </c>
      <c r="E553" s="2" t="n">
        <v>7000</v>
      </c>
      <c r="F553" s="2" t="s">
        <v>18</v>
      </c>
      <c r="G553" s="2"/>
      <c r="H553" s="2" t="str">
        <f aca="false">VLOOKUP(B553,$N$2:$S$41,3,FALSE())</f>
        <v>Model-Z</v>
      </c>
      <c r="I553" s="2" t="str">
        <f aca="false">VLOOKUP(B553,$N$2:$S$41,2,FALSE())</f>
        <v>Екатеринбург, Вайнера</v>
      </c>
      <c r="J553" s="2" t="n">
        <f aca="false">IF(F553="success",1,0)</f>
        <v>1</v>
      </c>
      <c r="K553" s="2" t="n">
        <f aca="false">VLOOKUP(H553,Lookup!$A$4:$B$6,2,FALSE())</f>
        <v>16</v>
      </c>
    </row>
    <row r="554" customFormat="false" ht="15" hidden="false" customHeight="false" outlineLevel="0" collapsed="false">
      <c r="A554" s="2" t="s">
        <v>663</v>
      </c>
      <c r="B554" s="2" t="s">
        <v>62</v>
      </c>
      <c r="C554" s="3" t="n">
        <v>46292.3627430556</v>
      </c>
      <c r="D554" s="2" t="s">
        <v>29</v>
      </c>
      <c r="E554" s="2" t="n">
        <v>0</v>
      </c>
      <c r="F554" s="2" t="s">
        <v>18</v>
      </c>
      <c r="G554" s="2"/>
      <c r="H554" s="2" t="str">
        <f aca="false">VLOOKUP(B554,$N$2:$S$41,3,FALSE())</f>
        <v>Model-X</v>
      </c>
      <c r="I554" s="2" t="str">
        <f aca="false">VLOOKUP(B554,$N$2:$S$41,2,FALSE())</f>
        <v>Казань, Баумана</v>
      </c>
      <c r="J554" s="2" t="n">
        <f aca="false">IF(F554="success",1,0)</f>
        <v>1</v>
      </c>
      <c r="K554" s="2" t="n">
        <f aca="false">VLOOKUP(H554,Lookup!$A$4:$B$6,2,FALSE())</f>
        <v>18</v>
      </c>
    </row>
    <row r="555" customFormat="false" ht="15" hidden="false" customHeight="false" outlineLevel="0" collapsed="false">
      <c r="A555" s="2" t="s">
        <v>664</v>
      </c>
      <c r="B555" s="2" t="s">
        <v>103</v>
      </c>
      <c r="C555" s="3" t="n">
        <v>46292.3887037037</v>
      </c>
      <c r="D555" s="2" t="s">
        <v>46</v>
      </c>
      <c r="E555" s="2" t="n">
        <v>500</v>
      </c>
      <c r="F555" s="2" t="s">
        <v>18</v>
      </c>
      <c r="G555" s="2"/>
      <c r="H555" s="2" t="str">
        <f aca="false">VLOOKUP(B555,$N$2:$S$41,3,FALSE())</f>
        <v>Model-Y</v>
      </c>
      <c r="I555" s="2" t="str">
        <f aca="false">VLOOKUP(B555,$N$2:$S$41,2,FALSE())</f>
        <v>Нижний Новгород, Большая Покровская</v>
      </c>
      <c r="J555" s="2" t="n">
        <f aca="false">IF(F555="success",1,0)</f>
        <v>1</v>
      </c>
      <c r="K555" s="2" t="n">
        <f aca="false">VLOOKUP(H555,Lookup!$A$4:$B$6,2,FALSE())</f>
        <v>14</v>
      </c>
    </row>
    <row r="556" customFormat="false" ht="15" hidden="false" customHeight="false" outlineLevel="0" collapsed="false">
      <c r="A556" s="2" t="s">
        <v>665</v>
      </c>
      <c r="B556" s="2" t="s">
        <v>34</v>
      </c>
      <c r="C556" s="3" t="n">
        <v>46292.401412037</v>
      </c>
      <c r="D556" s="2" t="s">
        <v>65</v>
      </c>
      <c r="E556" s="2" t="n">
        <v>3000</v>
      </c>
      <c r="F556" s="2" t="s">
        <v>100</v>
      </c>
      <c r="G556" s="2"/>
      <c r="H556" s="2" t="str">
        <f aca="false">VLOOKUP(B556,$N$2:$S$41,3,FALSE())</f>
        <v>Model-X</v>
      </c>
      <c r="I556" s="2" t="str">
        <f aca="false">VLOOKUP(B556,$N$2:$S$41,2,FALSE())</f>
        <v>Москва, Профсоюзная</v>
      </c>
      <c r="J556" s="2" t="n">
        <f aca="false">IF(F556="success",1,0)</f>
        <v>0</v>
      </c>
      <c r="K556" s="2" t="n">
        <f aca="false">VLOOKUP(H556,Lookup!$A$4:$B$6,2,FALSE())</f>
        <v>18</v>
      </c>
    </row>
    <row r="557" customFormat="false" ht="15" hidden="false" customHeight="false" outlineLevel="0" collapsed="false">
      <c r="A557" s="2" t="s">
        <v>666</v>
      </c>
      <c r="B557" s="2" t="s">
        <v>42</v>
      </c>
      <c r="C557" s="3" t="n">
        <v>46292.472025463</v>
      </c>
      <c r="D557" s="2" t="s">
        <v>65</v>
      </c>
      <c r="E557" s="2" t="n">
        <v>1000</v>
      </c>
      <c r="F557" s="2" t="s">
        <v>18</v>
      </c>
      <c r="G557" s="2"/>
      <c r="H557" s="2" t="str">
        <f aca="false">VLOOKUP(B557,$N$2:$S$41,3,FALSE())</f>
        <v>Model-X</v>
      </c>
      <c r="I557" s="2" t="str">
        <f aca="false">VLOOKUP(B557,$N$2:$S$41,2,FALSE())</f>
        <v>Краснодар, Гимназическая</v>
      </c>
      <c r="J557" s="2" t="n">
        <f aca="false">IF(F557="success",1,0)</f>
        <v>1</v>
      </c>
      <c r="K557" s="2" t="n">
        <f aca="false">VLOOKUP(H557,Lookup!$A$4:$B$6,2,FALSE())</f>
        <v>18</v>
      </c>
    </row>
    <row r="558" customFormat="false" ht="15" hidden="false" customHeight="false" outlineLevel="0" collapsed="false">
      <c r="A558" s="2" t="s">
        <v>667</v>
      </c>
      <c r="B558" s="2" t="s">
        <v>81</v>
      </c>
      <c r="C558" s="3" t="n">
        <v>46292.4962037037</v>
      </c>
      <c r="D558" s="2" t="s">
        <v>46</v>
      </c>
      <c r="E558" s="2" t="n">
        <v>10000</v>
      </c>
      <c r="F558" s="2" t="s">
        <v>76</v>
      </c>
      <c r="G558" s="2" t="s">
        <v>77</v>
      </c>
      <c r="H558" s="2" t="str">
        <f aca="false">VLOOKUP(B558,$N$2:$S$41,3,FALSE())</f>
        <v>Model-X</v>
      </c>
      <c r="I558" s="2" t="str">
        <f aca="false">VLOOKUP(B558,$N$2:$S$41,2,FALSE())</f>
        <v>Екатеринбург, Малышева</v>
      </c>
      <c r="J558" s="2" t="n">
        <f aca="false">IF(F558="success",1,0)</f>
        <v>0</v>
      </c>
      <c r="K558" s="2" t="n">
        <f aca="false">VLOOKUP(H558,Lookup!$A$4:$B$6,2,FALSE())</f>
        <v>18</v>
      </c>
    </row>
    <row r="559" customFormat="false" ht="15" hidden="false" customHeight="false" outlineLevel="0" collapsed="false">
      <c r="A559" s="2" t="s">
        <v>668</v>
      </c>
      <c r="B559" s="2" t="s">
        <v>58</v>
      </c>
      <c r="C559" s="3" t="n">
        <v>46292.5511458333</v>
      </c>
      <c r="D559" s="2" t="s">
        <v>65</v>
      </c>
      <c r="E559" s="2" t="n">
        <v>1500</v>
      </c>
      <c r="F559" s="2" t="s">
        <v>18</v>
      </c>
      <c r="G559" s="2"/>
      <c r="H559" s="2" t="str">
        <f aca="false">VLOOKUP(B559,$N$2:$S$41,3,FALSE())</f>
        <v>Model-Y</v>
      </c>
      <c r="I559" s="2" t="str">
        <f aca="false">VLOOKUP(B559,$N$2:$S$41,2,FALSE())</f>
        <v>Краснодар, Красная</v>
      </c>
      <c r="J559" s="2" t="n">
        <f aca="false">IF(F559="success",1,0)</f>
        <v>1</v>
      </c>
      <c r="K559" s="2" t="n">
        <f aca="false">VLOOKUP(H559,Lookup!$A$4:$B$6,2,FALSE())</f>
        <v>14</v>
      </c>
    </row>
    <row r="560" customFormat="false" ht="15" hidden="false" customHeight="false" outlineLevel="0" collapsed="false">
      <c r="A560" s="2" t="s">
        <v>669</v>
      </c>
      <c r="B560" s="2" t="s">
        <v>114</v>
      </c>
      <c r="C560" s="3" t="n">
        <v>46292.5564583333</v>
      </c>
      <c r="D560" s="2" t="s">
        <v>65</v>
      </c>
      <c r="E560" s="2" t="n">
        <v>2000</v>
      </c>
      <c r="F560" s="2" t="s">
        <v>18</v>
      </c>
      <c r="G560" s="2"/>
      <c r="H560" s="2" t="str">
        <f aca="false">VLOOKUP(B560,$N$2:$S$41,3,FALSE())</f>
        <v>Model-Z</v>
      </c>
      <c r="I560" s="2" t="str">
        <f aca="false">VLOOKUP(B560,$N$2:$S$41,2,FALSE())</f>
        <v>Самара, Куйбышева</v>
      </c>
      <c r="J560" s="2" t="n">
        <f aca="false">IF(F560="success",1,0)</f>
        <v>1</v>
      </c>
      <c r="K560" s="2" t="n">
        <f aca="false">VLOOKUP(H560,Lookup!$A$4:$B$6,2,FALSE())</f>
        <v>16</v>
      </c>
    </row>
    <row r="561" customFormat="false" ht="15" hidden="false" customHeight="false" outlineLevel="0" collapsed="false">
      <c r="A561" s="2" t="s">
        <v>670</v>
      </c>
      <c r="B561" s="2" t="s">
        <v>16</v>
      </c>
      <c r="C561" s="3" t="n">
        <v>46292.5731365741</v>
      </c>
      <c r="D561" s="2" t="s">
        <v>65</v>
      </c>
      <c r="E561" s="2" t="n">
        <v>15000</v>
      </c>
      <c r="F561" s="2" t="s">
        <v>18</v>
      </c>
      <c r="G561" s="2"/>
      <c r="H561" s="2" t="str">
        <f aca="false">VLOOKUP(B561,$N$2:$S$41,3,FALSE())</f>
        <v>Model-X</v>
      </c>
      <c r="I561" s="2" t="str">
        <f aca="false">VLOOKUP(B561,$N$2:$S$41,2,FALSE())</f>
        <v>Москва, Тверская</v>
      </c>
      <c r="J561" s="2" t="n">
        <f aca="false">IF(F561="success",1,0)</f>
        <v>1</v>
      </c>
      <c r="K561" s="2" t="n">
        <f aca="false">VLOOKUP(H561,Lookup!$A$4:$B$6,2,FALSE())</f>
        <v>18</v>
      </c>
    </row>
    <row r="562" customFormat="false" ht="15" hidden="false" customHeight="false" outlineLevel="0" collapsed="false">
      <c r="A562" s="2" t="s">
        <v>671</v>
      </c>
      <c r="B562" s="2" t="s">
        <v>139</v>
      </c>
      <c r="C562" s="3" t="n">
        <v>46292.635625</v>
      </c>
      <c r="D562" s="2" t="s">
        <v>17</v>
      </c>
      <c r="E562" s="2" t="n">
        <v>5000</v>
      </c>
      <c r="F562" s="2" t="s">
        <v>18</v>
      </c>
      <c r="G562" s="2"/>
      <c r="H562" s="2" t="str">
        <f aca="false">VLOOKUP(B562,$N$2:$S$41,3,FALSE())</f>
        <v>Model-X</v>
      </c>
      <c r="I562" s="2" t="str">
        <f aca="false">VLOOKUP(B562,$N$2:$S$41,2,FALSE())</f>
        <v>Воронеж, Революции</v>
      </c>
      <c r="J562" s="2" t="n">
        <f aca="false">IF(F562="success",1,0)</f>
        <v>1</v>
      </c>
      <c r="K562" s="2" t="n">
        <f aca="false">VLOOKUP(H562,Lookup!$A$4:$B$6,2,FALSE())</f>
        <v>18</v>
      </c>
    </row>
    <row r="563" customFormat="false" ht="15" hidden="false" customHeight="false" outlineLevel="0" collapsed="false">
      <c r="A563" s="2" t="s">
        <v>672</v>
      </c>
      <c r="B563" s="2" t="s">
        <v>139</v>
      </c>
      <c r="C563" s="3" t="n">
        <v>46292.6558796296</v>
      </c>
      <c r="D563" s="2" t="s">
        <v>17</v>
      </c>
      <c r="E563" s="2" t="n">
        <v>5000</v>
      </c>
      <c r="F563" s="2" t="s">
        <v>18</v>
      </c>
      <c r="G563" s="2"/>
      <c r="H563" s="2" t="str">
        <f aca="false">VLOOKUP(B563,$N$2:$S$41,3,FALSE())</f>
        <v>Model-X</v>
      </c>
      <c r="I563" s="2" t="str">
        <f aca="false">VLOOKUP(B563,$N$2:$S$41,2,FALSE())</f>
        <v>Воронеж, Революции</v>
      </c>
      <c r="J563" s="2" t="n">
        <f aca="false">IF(F563="success",1,0)</f>
        <v>1</v>
      </c>
      <c r="K563" s="2" t="n">
        <f aca="false">VLOOKUP(H563,Lookup!$A$4:$B$6,2,FALSE())</f>
        <v>18</v>
      </c>
    </row>
    <row r="564" customFormat="false" ht="15" hidden="false" customHeight="false" outlineLevel="0" collapsed="false">
      <c r="A564" s="2" t="s">
        <v>673</v>
      </c>
      <c r="B564" s="2" t="s">
        <v>81</v>
      </c>
      <c r="C564" s="3" t="n">
        <v>46292.6626851852</v>
      </c>
      <c r="D564" s="2" t="s">
        <v>46</v>
      </c>
      <c r="E564" s="2" t="n">
        <v>7000</v>
      </c>
      <c r="F564" s="2" t="s">
        <v>18</v>
      </c>
      <c r="G564" s="2"/>
      <c r="H564" s="2" t="str">
        <f aca="false">VLOOKUP(B564,$N$2:$S$41,3,FALSE())</f>
        <v>Model-X</v>
      </c>
      <c r="I564" s="2" t="str">
        <f aca="false">VLOOKUP(B564,$N$2:$S$41,2,FALSE())</f>
        <v>Екатеринбург, Малышева</v>
      </c>
      <c r="J564" s="2" t="n">
        <f aca="false">IF(F564="success",1,0)</f>
        <v>1</v>
      </c>
      <c r="K564" s="2" t="n">
        <f aca="false">VLOOKUP(H564,Lookup!$A$4:$B$6,2,FALSE())</f>
        <v>18</v>
      </c>
    </row>
    <row r="565" customFormat="false" ht="15" hidden="false" customHeight="false" outlineLevel="0" collapsed="false">
      <c r="A565" s="2" t="s">
        <v>674</v>
      </c>
      <c r="B565" s="2" t="s">
        <v>88</v>
      </c>
      <c r="C565" s="3" t="n">
        <v>46292.6836689815</v>
      </c>
      <c r="D565" s="2" t="s">
        <v>65</v>
      </c>
      <c r="E565" s="2" t="n">
        <v>3000</v>
      </c>
      <c r="F565" s="2" t="s">
        <v>76</v>
      </c>
      <c r="G565" s="2" t="s">
        <v>117</v>
      </c>
      <c r="H565" s="2" t="str">
        <f aca="false">VLOOKUP(B565,$N$2:$S$41,3,FALSE())</f>
        <v>Model-Z</v>
      </c>
      <c r="I565" s="2" t="str">
        <f aca="false">VLOOKUP(B565,$N$2:$S$41,2,FALSE())</f>
        <v>Екатеринбург, Вайнера</v>
      </c>
      <c r="J565" s="2" t="n">
        <f aca="false">IF(F565="success",1,0)</f>
        <v>0</v>
      </c>
      <c r="K565" s="2" t="n">
        <f aca="false">VLOOKUP(H565,Lookup!$A$4:$B$6,2,FALSE())</f>
        <v>16</v>
      </c>
    </row>
    <row r="566" customFormat="false" ht="15" hidden="false" customHeight="false" outlineLevel="0" collapsed="false">
      <c r="A566" s="2" t="s">
        <v>675</v>
      </c>
      <c r="B566" s="2" t="s">
        <v>24</v>
      </c>
      <c r="C566" s="3" t="n">
        <v>46292.7104513889</v>
      </c>
      <c r="D566" s="2" t="s">
        <v>17</v>
      </c>
      <c r="E566" s="2" t="n">
        <v>500</v>
      </c>
      <c r="F566" s="2" t="s">
        <v>18</v>
      </c>
      <c r="G566" s="2"/>
      <c r="H566" s="2" t="str">
        <f aca="false">VLOOKUP(B566,$N$2:$S$41,3,FALSE())</f>
        <v>Model-Y</v>
      </c>
      <c r="I566" s="2" t="str">
        <f aca="false">VLOOKUP(B566,$N$2:$S$41,2,FALSE())</f>
        <v>Москва, Арбат</v>
      </c>
      <c r="J566" s="2" t="n">
        <f aca="false">IF(F566="success",1,0)</f>
        <v>1</v>
      </c>
      <c r="K566" s="2" t="n">
        <f aca="false">VLOOKUP(H566,Lookup!$A$4:$B$6,2,FALSE())</f>
        <v>14</v>
      </c>
    </row>
    <row r="567" customFormat="false" ht="15" hidden="false" customHeight="false" outlineLevel="0" collapsed="false">
      <c r="A567" s="2" t="s">
        <v>676</v>
      </c>
      <c r="B567" s="2" t="s">
        <v>84</v>
      </c>
      <c r="C567" s="3" t="n">
        <v>46292.7468055556</v>
      </c>
      <c r="D567" s="2" t="s">
        <v>29</v>
      </c>
      <c r="E567" s="2" t="n">
        <v>0</v>
      </c>
      <c r="F567" s="2" t="s">
        <v>100</v>
      </c>
      <c r="G567" s="2"/>
      <c r="H567" s="2" t="str">
        <f aca="false">VLOOKUP(B567,$N$2:$S$41,3,FALSE())</f>
        <v>Model-X</v>
      </c>
      <c r="I567" s="2" t="str">
        <f aca="false">VLOOKUP(B567,$N$2:$S$41,2,FALSE())</f>
        <v>Новосибирск, Красный пр-т</v>
      </c>
      <c r="J567" s="2" t="n">
        <f aca="false">IF(F567="success",1,0)</f>
        <v>0</v>
      </c>
      <c r="K567" s="2" t="n">
        <f aca="false">VLOOKUP(H567,Lookup!$A$4:$B$6,2,FALSE())</f>
        <v>18</v>
      </c>
    </row>
    <row r="568" customFormat="false" ht="15" hidden="false" customHeight="false" outlineLevel="0" collapsed="false">
      <c r="A568" s="2" t="s">
        <v>677</v>
      </c>
      <c r="B568" s="2" t="s">
        <v>50</v>
      </c>
      <c r="C568" s="3" t="n">
        <v>46292.7804050926</v>
      </c>
      <c r="D568" s="2" t="s">
        <v>17</v>
      </c>
      <c r="E568" s="2" t="n">
        <v>10000</v>
      </c>
      <c r="F568" s="2" t="s">
        <v>18</v>
      </c>
      <c r="G568" s="2"/>
      <c r="H568" s="2" t="str">
        <f aca="false">VLOOKUP(B568,$N$2:$S$41,3,FALSE())</f>
        <v>Model-Y</v>
      </c>
      <c r="I568" s="2" t="str">
        <f aca="false">VLOOKUP(B568,$N$2:$S$41,2,FALSE())</f>
        <v>Санкт-Петербург, Московский пр-т</v>
      </c>
      <c r="J568" s="2" t="n">
        <f aca="false">IF(F568="success",1,0)</f>
        <v>1</v>
      </c>
      <c r="K568" s="2" t="n">
        <f aca="false">VLOOKUP(H568,Lookup!$A$4:$B$6,2,FALSE())</f>
        <v>14</v>
      </c>
    </row>
    <row r="569" customFormat="false" ht="15" hidden="false" customHeight="false" outlineLevel="0" collapsed="false">
      <c r="A569" s="2" t="s">
        <v>678</v>
      </c>
      <c r="B569" s="2" t="s">
        <v>16</v>
      </c>
      <c r="C569" s="3" t="n">
        <v>46292.8430439815</v>
      </c>
      <c r="D569" s="2" t="s">
        <v>46</v>
      </c>
      <c r="E569" s="2" t="n">
        <v>3000</v>
      </c>
      <c r="F569" s="2" t="s">
        <v>18</v>
      </c>
      <c r="G569" s="2"/>
      <c r="H569" s="2" t="str">
        <f aca="false">VLOOKUP(B569,$N$2:$S$41,3,FALSE())</f>
        <v>Model-X</v>
      </c>
      <c r="I569" s="2" t="str">
        <f aca="false">VLOOKUP(B569,$N$2:$S$41,2,FALSE())</f>
        <v>Москва, Тверская</v>
      </c>
      <c r="J569" s="2" t="n">
        <f aca="false">IF(F569="success",1,0)</f>
        <v>1</v>
      </c>
      <c r="K569" s="2" t="n">
        <f aca="false">VLOOKUP(H569,Lookup!$A$4:$B$6,2,FALSE())</f>
        <v>18</v>
      </c>
    </row>
    <row r="570" customFormat="false" ht="15" hidden="false" customHeight="false" outlineLevel="0" collapsed="false">
      <c r="A570" s="2" t="s">
        <v>679</v>
      </c>
      <c r="B570" s="2" t="s">
        <v>39</v>
      </c>
      <c r="C570" s="3" t="n">
        <v>46292.887025463</v>
      </c>
      <c r="D570" s="2" t="s">
        <v>17</v>
      </c>
      <c r="E570" s="2" t="n">
        <v>3000</v>
      </c>
      <c r="F570" s="2" t="s">
        <v>18</v>
      </c>
      <c r="G570" s="2"/>
      <c r="H570" s="2" t="str">
        <f aca="false">VLOOKUP(B570,$N$2:$S$41,3,FALSE())</f>
        <v>Model-Y</v>
      </c>
      <c r="I570" s="2" t="str">
        <f aca="false">VLOOKUP(B570,$N$2:$S$41,2,FALSE())</f>
        <v>Москва, Кутузовский пр-т</v>
      </c>
      <c r="J570" s="2" t="n">
        <f aca="false">IF(F570="success",1,0)</f>
        <v>1</v>
      </c>
      <c r="K570" s="2" t="n">
        <f aca="false">VLOOKUP(H570,Lookup!$A$4:$B$6,2,FALSE())</f>
        <v>14</v>
      </c>
    </row>
    <row r="571" customFormat="false" ht="15" hidden="false" customHeight="false" outlineLevel="0" collapsed="false">
      <c r="A571" s="2" t="s">
        <v>680</v>
      </c>
      <c r="B571" s="2" t="s">
        <v>69</v>
      </c>
      <c r="C571" s="3" t="n">
        <v>46292.9108217593</v>
      </c>
      <c r="D571" s="2" t="s">
        <v>65</v>
      </c>
      <c r="E571" s="2" t="n">
        <v>3000</v>
      </c>
      <c r="F571" s="2" t="s">
        <v>18</v>
      </c>
      <c r="G571" s="2"/>
      <c r="H571" s="2" t="str">
        <f aca="false">VLOOKUP(B571,$N$2:$S$41,3,FALSE())</f>
        <v>Model-X</v>
      </c>
      <c r="I571" s="2" t="str">
        <f aca="false">VLOOKUP(B571,$N$2:$S$41,2,FALSE())</f>
        <v>Казань, Пушкина</v>
      </c>
      <c r="J571" s="2" t="n">
        <f aca="false">IF(F571="success",1,0)</f>
        <v>1</v>
      </c>
      <c r="K571" s="2" t="n">
        <f aca="false">VLOOKUP(H571,Lookup!$A$4:$B$6,2,FALSE())</f>
        <v>18</v>
      </c>
    </row>
    <row r="572" customFormat="false" ht="15" hidden="false" customHeight="false" outlineLevel="0" collapsed="false">
      <c r="A572" s="2" t="s">
        <v>681</v>
      </c>
      <c r="B572" s="2" t="s">
        <v>84</v>
      </c>
      <c r="C572" s="3" t="n">
        <v>46293.1628009259</v>
      </c>
      <c r="D572" s="2" t="s">
        <v>29</v>
      </c>
      <c r="E572" s="2" t="n">
        <v>0</v>
      </c>
      <c r="F572" s="2" t="s">
        <v>18</v>
      </c>
      <c r="G572" s="2"/>
      <c r="H572" s="2" t="str">
        <f aca="false">VLOOKUP(B572,$N$2:$S$41,3,FALSE())</f>
        <v>Model-X</v>
      </c>
      <c r="I572" s="2" t="str">
        <f aca="false">VLOOKUP(B572,$N$2:$S$41,2,FALSE())</f>
        <v>Новосибирск, Красный пр-т</v>
      </c>
      <c r="J572" s="2" t="n">
        <f aca="false">IF(F572="success",1,0)</f>
        <v>1</v>
      </c>
      <c r="K572" s="2" t="n">
        <f aca="false">VLOOKUP(H572,Lookup!$A$4:$B$6,2,FALSE())</f>
        <v>18</v>
      </c>
    </row>
    <row r="573" customFormat="false" ht="15" hidden="false" customHeight="false" outlineLevel="0" collapsed="false">
      <c r="A573" s="2" t="s">
        <v>682</v>
      </c>
      <c r="B573" s="2" t="s">
        <v>39</v>
      </c>
      <c r="C573" s="3" t="n">
        <v>46293.3231481482</v>
      </c>
      <c r="D573" s="2" t="s">
        <v>17</v>
      </c>
      <c r="E573" s="2" t="n">
        <v>3000</v>
      </c>
      <c r="F573" s="2" t="s">
        <v>18</v>
      </c>
      <c r="G573" s="2"/>
      <c r="H573" s="2" t="str">
        <f aca="false">VLOOKUP(B573,$N$2:$S$41,3,FALSE())</f>
        <v>Model-Y</v>
      </c>
      <c r="I573" s="2" t="str">
        <f aca="false">VLOOKUP(B573,$N$2:$S$41,2,FALSE())</f>
        <v>Москва, Кутузовский пр-т</v>
      </c>
      <c r="J573" s="2" t="n">
        <f aca="false">IF(F573="success",1,0)</f>
        <v>1</v>
      </c>
      <c r="K573" s="2" t="n">
        <f aca="false">VLOOKUP(H573,Lookup!$A$4:$B$6,2,FALSE())</f>
        <v>14</v>
      </c>
    </row>
    <row r="574" customFormat="false" ht="15" hidden="false" customHeight="false" outlineLevel="0" collapsed="false">
      <c r="A574" s="2" t="s">
        <v>683</v>
      </c>
      <c r="B574" s="2" t="s">
        <v>34</v>
      </c>
      <c r="C574" s="3" t="n">
        <v>46293.3254976852</v>
      </c>
      <c r="D574" s="2" t="s">
        <v>17</v>
      </c>
      <c r="E574" s="2" t="n">
        <v>7000</v>
      </c>
      <c r="F574" s="2" t="s">
        <v>18</v>
      </c>
      <c r="G574" s="2"/>
      <c r="H574" s="2" t="str">
        <f aca="false">VLOOKUP(B574,$N$2:$S$41,3,FALSE())</f>
        <v>Model-X</v>
      </c>
      <c r="I574" s="2" t="str">
        <f aca="false">VLOOKUP(B574,$N$2:$S$41,2,FALSE())</f>
        <v>Москва, Профсоюзная</v>
      </c>
      <c r="J574" s="2" t="n">
        <f aca="false">IF(F574="success",1,0)</f>
        <v>1</v>
      </c>
      <c r="K574" s="2" t="n">
        <f aca="false">VLOOKUP(H574,Lookup!$A$4:$B$6,2,FALSE())</f>
        <v>18</v>
      </c>
    </row>
    <row r="575" customFormat="false" ht="15" hidden="false" customHeight="false" outlineLevel="0" collapsed="false">
      <c r="A575" s="2" t="s">
        <v>684</v>
      </c>
      <c r="B575" s="2" t="s">
        <v>24</v>
      </c>
      <c r="C575" s="3" t="n">
        <v>46293.330625</v>
      </c>
      <c r="D575" s="2" t="s">
        <v>17</v>
      </c>
      <c r="E575" s="2" t="n">
        <v>1000</v>
      </c>
      <c r="F575" s="2" t="s">
        <v>18</v>
      </c>
      <c r="G575" s="2"/>
      <c r="H575" s="2" t="str">
        <f aca="false">VLOOKUP(B575,$N$2:$S$41,3,FALSE())</f>
        <v>Model-Y</v>
      </c>
      <c r="I575" s="2" t="str">
        <f aca="false">VLOOKUP(B575,$N$2:$S$41,2,FALSE())</f>
        <v>Москва, Арбат</v>
      </c>
      <c r="J575" s="2" t="n">
        <f aca="false">IF(F575="success",1,0)</f>
        <v>1</v>
      </c>
      <c r="K575" s="2" t="n">
        <f aca="false">VLOOKUP(H575,Lookup!$A$4:$B$6,2,FALSE())</f>
        <v>14</v>
      </c>
    </row>
    <row r="576" customFormat="false" ht="15" hidden="false" customHeight="false" outlineLevel="0" collapsed="false">
      <c r="A576" s="2" t="s">
        <v>685</v>
      </c>
      <c r="B576" s="2" t="s">
        <v>125</v>
      </c>
      <c r="C576" s="3" t="n">
        <v>46293.3338078704</v>
      </c>
      <c r="D576" s="2" t="s">
        <v>17</v>
      </c>
      <c r="E576" s="2" t="n">
        <v>500</v>
      </c>
      <c r="F576" s="2" t="s">
        <v>100</v>
      </c>
      <c r="G576" s="2"/>
      <c r="H576" s="2" t="str">
        <f aca="false">VLOOKUP(B576,$N$2:$S$41,3,FALSE())</f>
        <v>Model-X</v>
      </c>
      <c r="I576" s="2" t="str">
        <f aca="false">VLOOKUP(B576,$N$2:$S$41,2,FALSE())</f>
        <v>Ростов-на-Дону, Пушкинская</v>
      </c>
      <c r="J576" s="2" t="n">
        <f aca="false">IF(F576="success",1,0)</f>
        <v>0</v>
      </c>
      <c r="K576" s="2" t="n">
        <f aca="false">VLOOKUP(H576,Lookup!$A$4:$B$6,2,FALSE())</f>
        <v>18</v>
      </c>
    </row>
    <row r="577" customFormat="false" ht="15" hidden="false" customHeight="false" outlineLevel="0" collapsed="false">
      <c r="A577" s="2" t="s">
        <v>686</v>
      </c>
      <c r="B577" s="2" t="s">
        <v>81</v>
      </c>
      <c r="C577" s="3" t="n">
        <v>46293.3742824074</v>
      </c>
      <c r="D577" s="2" t="s">
        <v>17</v>
      </c>
      <c r="E577" s="2" t="n">
        <v>1000</v>
      </c>
      <c r="F577" s="2" t="s">
        <v>18</v>
      </c>
      <c r="G577" s="2"/>
      <c r="H577" s="2" t="str">
        <f aca="false">VLOOKUP(B577,$N$2:$S$41,3,FALSE())</f>
        <v>Model-X</v>
      </c>
      <c r="I577" s="2" t="str">
        <f aca="false">VLOOKUP(B577,$N$2:$S$41,2,FALSE())</f>
        <v>Екатеринбург, Малышева</v>
      </c>
      <c r="J577" s="2" t="n">
        <f aca="false">IF(F577="success",1,0)</f>
        <v>1</v>
      </c>
      <c r="K577" s="2" t="n">
        <f aca="false">VLOOKUP(H577,Lookup!$A$4:$B$6,2,FALSE())</f>
        <v>18</v>
      </c>
    </row>
    <row r="578" customFormat="false" ht="15" hidden="false" customHeight="false" outlineLevel="0" collapsed="false">
      <c r="A578" s="2" t="s">
        <v>687</v>
      </c>
      <c r="B578" s="2" t="s">
        <v>84</v>
      </c>
      <c r="C578" s="3" t="n">
        <v>46293.3743518519</v>
      </c>
      <c r="D578" s="2" t="s">
        <v>17</v>
      </c>
      <c r="E578" s="2" t="n">
        <v>3000</v>
      </c>
      <c r="F578" s="2" t="s">
        <v>18</v>
      </c>
      <c r="G578" s="2"/>
      <c r="H578" s="2" t="str">
        <f aca="false">VLOOKUP(B578,$N$2:$S$41,3,FALSE())</f>
        <v>Model-X</v>
      </c>
      <c r="I578" s="2" t="str">
        <f aca="false">VLOOKUP(B578,$N$2:$S$41,2,FALSE())</f>
        <v>Новосибирск, Красный пр-т</v>
      </c>
      <c r="J578" s="2" t="n">
        <f aca="false">IF(F578="success",1,0)</f>
        <v>1</v>
      </c>
      <c r="K578" s="2" t="n">
        <f aca="false">VLOOKUP(H578,Lookup!$A$4:$B$6,2,FALSE())</f>
        <v>18</v>
      </c>
    </row>
    <row r="579" customFormat="false" ht="15" hidden="false" customHeight="false" outlineLevel="0" collapsed="false">
      <c r="A579" s="2" t="s">
        <v>688</v>
      </c>
      <c r="B579" s="2" t="s">
        <v>103</v>
      </c>
      <c r="C579" s="3" t="n">
        <v>46293.4269328704</v>
      </c>
      <c r="D579" s="2" t="s">
        <v>17</v>
      </c>
      <c r="E579" s="2" t="n">
        <v>7000</v>
      </c>
      <c r="F579" s="2" t="s">
        <v>18</v>
      </c>
      <c r="G579" s="2"/>
      <c r="H579" s="2" t="str">
        <f aca="false">VLOOKUP(B579,$N$2:$S$41,3,FALSE())</f>
        <v>Model-Y</v>
      </c>
      <c r="I579" s="2" t="str">
        <f aca="false">VLOOKUP(B579,$N$2:$S$41,2,FALSE())</f>
        <v>Нижний Новгород, Большая Покровская</v>
      </c>
      <c r="J579" s="2" t="n">
        <f aca="false">IF(F579="success",1,0)</f>
        <v>1</v>
      </c>
      <c r="K579" s="2" t="n">
        <f aca="false">VLOOKUP(H579,Lookup!$A$4:$B$6,2,FALSE())</f>
        <v>14</v>
      </c>
    </row>
    <row r="580" customFormat="false" ht="15" hidden="false" customHeight="false" outlineLevel="0" collapsed="false">
      <c r="A580" s="2" t="s">
        <v>689</v>
      </c>
      <c r="B580" s="2" t="s">
        <v>53</v>
      </c>
      <c r="C580" s="3" t="n">
        <v>46293.4375925926</v>
      </c>
      <c r="D580" s="2" t="s">
        <v>46</v>
      </c>
      <c r="E580" s="2" t="n">
        <v>1500</v>
      </c>
      <c r="F580" s="2" t="s">
        <v>76</v>
      </c>
      <c r="G580" s="2" t="s">
        <v>77</v>
      </c>
      <c r="H580" s="2" t="str">
        <f aca="false">VLOOKUP(B580,$N$2:$S$41,3,FALSE())</f>
        <v>Model-Z</v>
      </c>
      <c r="I580" s="2" t="str">
        <f aca="false">VLOOKUP(B580,$N$2:$S$41,2,FALSE())</f>
        <v>Ростов-на-Дону, Будённовский</v>
      </c>
      <c r="J580" s="2" t="n">
        <f aca="false">IF(F580="success",1,0)</f>
        <v>0</v>
      </c>
      <c r="K580" s="2" t="n">
        <f aca="false">VLOOKUP(H580,Lookup!$A$4:$B$6,2,FALSE())</f>
        <v>16</v>
      </c>
    </row>
    <row r="581" customFormat="false" ht="15" hidden="false" customHeight="false" outlineLevel="0" collapsed="false">
      <c r="A581" s="2" t="s">
        <v>690</v>
      </c>
      <c r="B581" s="2" t="s">
        <v>139</v>
      </c>
      <c r="C581" s="3" t="n">
        <v>46293.5637384259</v>
      </c>
      <c r="D581" s="2" t="s">
        <v>29</v>
      </c>
      <c r="E581" s="2" t="n">
        <v>0</v>
      </c>
      <c r="F581" s="2" t="s">
        <v>100</v>
      </c>
      <c r="G581" s="2"/>
      <c r="H581" s="2" t="str">
        <f aca="false">VLOOKUP(B581,$N$2:$S$41,3,FALSE())</f>
        <v>Model-X</v>
      </c>
      <c r="I581" s="2" t="str">
        <f aca="false">VLOOKUP(B581,$N$2:$S$41,2,FALSE())</f>
        <v>Воронеж, Революции</v>
      </c>
      <c r="J581" s="2" t="n">
        <f aca="false">IF(F581="success",1,0)</f>
        <v>0</v>
      </c>
      <c r="K581" s="2" t="n">
        <f aca="false">VLOOKUP(H581,Lookup!$A$4:$B$6,2,FALSE())</f>
        <v>18</v>
      </c>
    </row>
    <row r="582" customFormat="false" ht="15" hidden="false" customHeight="false" outlineLevel="0" collapsed="false">
      <c r="A582" s="2" t="s">
        <v>691</v>
      </c>
      <c r="B582" s="2" t="s">
        <v>50</v>
      </c>
      <c r="C582" s="3" t="n">
        <v>46293.5675115741</v>
      </c>
      <c r="D582" s="2" t="s">
        <v>17</v>
      </c>
      <c r="E582" s="2" t="n">
        <v>1000</v>
      </c>
      <c r="F582" s="2" t="s">
        <v>18</v>
      </c>
      <c r="G582" s="2"/>
      <c r="H582" s="2" t="str">
        <f aca="false">VLOOKUP(B582,$N$2:$S$41,3,FALSE())</f>
        <v>Model-Y</v>
      </c>
      <c r="I582" s="2" t="str">
        <f aca="false">VLOOKUP(B582,$N$2:$S$41,2,FALSE())</f>
        <v>Санкт-Петербург, Московский пр-т</v>
      </c>
      <c r="J582" s="2" t="n">
        <f aca="false">IF(F582="success",1,0)</f>
        <v>1</v>
      </c>
      <c r="K582" s="2" t="n">
        <f aca="false">VLOOKUP(H582,Lookup!$A$4:$B$6,2,FALSE())</f>
        <v>14</v>
      </c>
    </row>
    <row r="583" customFormat="false" ht="15" hidden="false" customHeight="false" outlineLevel="0" collapsed="false">
      <c r="A583" s="2" t="s">
        <v>692</v>
      </c>
      <c r="B583" s="2" t="s">
        <v>72</v>
      </c>
      <c r="C583" s="3" t="n">
        <v>46293.5793287037</v>
      </c>
      <c r="D583" s="2" t="s">
        <v>17</v>
      </c>
      <c r="E583" s="2" t="n">
        <v>3000</v>
      </c>
      <c r="F583" s="2" t="s">
        <v>18</v>
      </c>
      <c r="G583" s="2"/>
      <c r="H583" s="2" t="str">
        <f aca="false">VLOOKUP(B583,$N$2:$S$41,3,FALSE())</f>
        <v>Model-Y</v>
      </c>
      <c r="I583" s="2" t="str">
        <f aca="false">VLOOKUP(B583,$N$2:$S$41,2,FALSE())</f>
        <v>Ростов-на-Дону, Садовая</v>
      </c>
      <c r="J583" s="2" t="n">
        <f aca="false">IF(F583="success",1,0)</f>
        <v>1</v>
      </c>
      <c r="K583" s="2" t="n">
        <f aca="false">VLOOKUP(H583,Lookup!$A$4:$B$6,2,FALSE())</f>
        <v>14</v>
      </c>
    </row>
    <row r="584" customFormat="false" ht="15" hidden="false" customHeight="false" outlineLevel="0" collapsed="false">
      <c r="A584" s="2" t="s">
        <v>693</v>
      </c>
      <c r="B584" s="2" t="s">
        <v>24</v>
      </c>
      <c r="C584" s="3" t="n">
        <v>46293.6345138889</v>
      </c>
      <c r="D584" s="2" t="s">
        <v>17</v>
      </c>
      <c r="E584" s="2" t="n">
        <v>15000</v>
      </c>
      <c r="F584" s="2" t="s">
        <v>100</v>
      </c>
      <c r="G584" s="2"/>
      <c r="H584" s="2" t="str">
        <f aca="false">VLOOKUP(B584,$N$2:$S$41,3,FALSE())</f>
        <v>Model-Y</v>
      </c>
      <c r="I584" s="2" t="str">
        <f aca="false">VLOOKUP(B584,$N$2:$S$41,2,FALSE())</f>
        <v>Москва, Арбат</v>
      </c>
      <c r="J584" s="2" t="n">
        <f aca="false">IF(F584="success",1,0)</f>
        <v>0</v>
      </c>
      <c r="K584" s="2" t="n">
        <f aca="false">VLOOKUP(H584,Lookup!$A$4:$B$6,2,FALSE())</f>
        <v>14</v>
      </c>
    </row>
    <row r="585" customFormat="false" ht="15" hidden="false" customHeight="false" outlineLevel="0" collapsed="false">
      <c r="A585" s="2" t="s">
        <v>694</v>
      </c>
      <c r="B585" s="2" t="s">
        <v>23</v>
      </c>
      <c r="C585" s="3" t="n">
        <v>46293.6386111111</v>
      </c>
      <c r="D585" s="2" t="s">
        <v>17</v>
      </c>
      <c r="E585" s="2" t="n">
        <v>7000</v>
      </c>
      <c r="F585" s="2" t="s">
        <v>18</v>
      </c>
      <c r="G585" s="2"/>
      <c r="H585" s="2" t="str">
        <f aca="false">VLOOKUP(B585,$N$2:$S$41,3,FALSE())</f>
        <v>Model-X</v>
      </c>
      <c r="I585" s="2" t="str">
        <f aca="false">VLOOKUP(B585,$N$2:$S$41,2,FALSE())</f>
        <v>Воронеж, Кольцовская</v>
      </c>
      <c r="J585" s="2" t="n">
        <f aca="false">IF(F585="success",1,0)</f>
        <v>1</v>
      </c>
      <c r="K585" s="2" t="n">
        <f aca="false">VLOOKUP(H585,Lookup!$A$4:$B$6,2,FALSE())</f>
        <v>18</v>
      </c>
    </row>
    <row r="586" customFormat="false" ht="15" hidden="false" customHeight="false" outlineLevel="0" collapsed="false">
      <c r="A586" s="2" t="s">
        <v>695</v>
      </c>
      <c r="B586" s="2" t="s">
        <v>69</v>
      </c>
      <c r="C586" s="3" t="n">
        <v>46293.6565740741</v>
      </c>
      <c r="D586" s="2" t="s">
        <v>17</v>
      </c>
      <c r="E586" s="2" t="n">
        <v>2000</v>
      </c>
      <c r="F586" s="2" t="s">
        <v>18</v>
      </c>
      <c r="G586" s="2"/>
      <c r="H586" s="2" t="str">
        <f aca="false">VLOOKUP(B586,$N$2:$S$41,3,FALSE())</f>
        <v>Model-X</v>
      </c>
      <c r="I586" s="2" t="str">
        <f aca="false">VLOOKUP(B586,$N$2:$S$41,2,FALSE())</f>
        <v>Казань, Пушкина</v>
      </c>
      <c r="J586" s="2" t="n">
        <f aca="false">IF(F586="success",1,0)</f>
        <v>1</v>
      </c>
      <c r="K586" s="2" t="n">
        <f aca="false">VLOOKUP(H586,Lookup!$A$4:$B$6,2,FALSE())</f>
        <v>18</v>
      </c>
    </row>
    <row r="587" customFormat="false" ht="15" hidden="false" customHeight="false" outlineLevel="0" collapsed="false">
      <c r="A587" s="2" t="s">
        <v>696</v>
      </c>
      <c r="B587" s="2" t="s">
        <v>58</v>
      </c>
      <c r="C587" s="3" t="n">
        <v>46293.6977083333</v>
      </c>
      <c r="D587" s="2" t="s">
        <v>17</v>
      </c>
      <c r="E587" s="2" t="n">
        <v>5000</v>
      </c>
      <c r="F587" s="2" t="s">
        <v>18</v>
      </c>
      <c r="G587" s="2"/>
      <c r="H587" s="2" t="str">
        <f aca="false">VLOOKUP(B587,$N$2:$S$41,3,FALSE())</f>
        <v>Model-Y</v>
      </c>
      <c r="I587" s="2" t="str">
        <f aca="false">VLOOKUP(B587,$N$2:$S$41,2,FALSE())</f>
        <v>Краснодар, Красная</v>
      </c>
      <c r="J587" s="2" t="n">
        <f aca="false">IF(F587="success",1,0)</f>
        <v>1</v>
      </c>
      <c r="K587" s="2" t="n">
        <f aca="false">VLOOKUP(H587,Lookup!$A$4:$B$6,2,FALSE())</f>
        <v>14</v>
      </c>
    </row>
    <row r="588" customFormat="false" ht="15" hidden="false" customHeight="false" outlineLevel="0" collapsed="false">
      <c r="A588" s="2" t="s">
        <v>697</v>
      </c>
      <c r="B588" s="2" t="s">
        <v>78</v>
      </c>
      <c r="C588" s="3" t="n">
        <v>46293.7009027778</v>
      </c>
      <c r="D588" s="2" t="s">
        <v>65</v>
      </c>
      <c r="E588" s="2" t="n">
        <v>3000</v>
      </c>
      <c r="F588" s="2" t="s">
        <v>18</v>
      </c>
      <c r="G588" s="2"/>
      <c r="H588" s="2" t="str">
        <f aca="false">VLOOKUP(B588,$N$2:$S$41,3,FALSE())</f>
        <v>Model-Z</v>
      </c>
      <c r="I588" s="2" t="str">
        <f aca="false">VLOOKUP(B588,$N$2:$S$41,2,FALSE())</f>
        <v>Екатеринбург, Ленина</v>
      </c>
      <c r="J588" s="2" t="n">
        <f aca="false">IF(F588="success",1,0)</f>
        <v>1</v>
      </c>
      <c r="K588" s="2" t="n">
        <f aca="false">VLOOKUP(H588,Lookup!$A$4:$B$6,2,FALSE())</f>
        <v>16</v>
      </c>
    </row>
    <row r="589" customFormat="false" ht="15" hidden="false" customHeight="false" outlineLevel="0" collapsed="false">
      <c r="A589" s="2" t="s">
        <v>698</v>
      </c>
      <c r="B589" s="2" t="s">
        <v>118</v>
      </c>
      <c r="C589" s="3" t="n">
        <v>46293.7052546296</v>
      </c>
      <c r="D589" s="2" t="s">
        <v>17</v>
      </c>
      <c r="E589" s="2" t="n">
        <v>10000</v>
      </c>
      <c r="F589" s="2" t="s">
        <v>18</v>
      </c>
      <c r="G589" s="2"/>
      <c r="H589" s="2" t="str">
        <f aca="false">VLOOKUP(B589,$N$2:$S$41,3,FALSE())</f>
        <v>Model-X</v>
      </c>
      <c r="I589" s="2" t="str">
        <f aca="false">VLOOKUP(B589,$N$2:$S$41,2,FALSE())</f>
        <v>Самара, Молодогвардейская</v>
      </c>
      <c r="J589" s="2" t="n">
        <f aca="false">IF(F589="success",1,0)</f>
        <v>1</v>
      </c>
      <c r="K589" s="2" t="n">
        <f aca="false">VLOOKUP(H589,Lookup!$A$4:$B$6,2,FALSE())</f>
        <v>18</v>
      </c>
    </row>
    <row r="590" customFormat="false" ht="15" hidden="false" customHeight="false" outlineLevel="0" collapsed="false">
      <c r="A590" s="2" t="s">
        <v>699</v>
      </c>
      <c r="B590" s="2" t="s">
        <v>16</v>
      </c>
      <c r="C590" s="3" t="n">
        <v>46293.7457060185</v>
      </c>
      <c r="D590" s="2" t="s">
        <v>46</v>
      </c>
      <c r="E590" s="2" t="n">
        <v>15000</v>
      </c>
      <c r="F590" s="2" t="s">
        <v>18</v>
      </c>
      <c r="G590" s="2"/>
      <c r="H590" s="2" t="str">
        <f aca="false">VLOOKUP(B590,$N$2:$S$41,3,FALSE())</f>
        <v>Model-X</v>
      </c>
      <c r="I590" s="2" t="str">
        <f aca="false">VLOOKUP(B590,$N$2:$S$41,2,FALSE())</f>
        <v>Москва, Тверская</v>
      </c>
      <c r="J590" s="2" t="n">
        <f aca="false">IF(F590="success",1,0)</f>
        <v>1</v>
      </c>
      <c r="K590" s="2" t="n">
        <f aca="false">VLOOKUP(H590,Lookup!$A$4:$B$6,2,FALSE())</f>
        <v>18</v>
      </c>
    </row>
    <row r="591" customFormat="false" ht="15" hidden="false" customHeight="false" outlineLevel="0" collapsed="false">
      <c r="A591" s="2" t="s">
        <v>700</v>
      </c>
      <c r="B591" s="2" t="s">
        <v>59</v>
      </c>
      <c r="C591" s="3" t="n">
        <v>46293.7469907407</v>
      </c>
      <c r="D591" s="2" t="s">
        <v>29</v>
      </c>
      <c r="E591" s="2" t="n">
        <v>0</v>
      </c>
      <c r="F591" s="2" t="s">
        <v>18</v>
      </c>
      <c r="G591" s="2"/>
      <c r="H591" s="2" t="str">
        <f aca="false">VLOOKUP(B591,$N$2:$S$41,3,FALSE())</f>
        <v>Model-X</v>
      </c>
      <c r="I591" s="2" t="str">
        <f aca="false">VLOOKUP(B591,$N$2:$S$41,2,FALSE())</f>
        <v>Санкт-Петербург, Большой пр-т</v>
      </c>
      <c r="J591" s="2" t="n">
        <f aca="false">IF(F591="success",1,0)</f>
        <v>1</v>
      </c>
      <c r="K591" s="2" t="n">
        <f aca="false">VLOOKUP(H591,Lookup!$A$4:$B$6,2,FALSE())</f>
        <v>18</v>
      </c>
    </row>
    <row r="592" customFormat="false" ht="15" hidden="false" customHeight="false" outlineLevel="0" collapsed="false">
      <c r="A592" s="2" t="s">
        <v>701</v>
      </c>
      <c r="B592" s="2" t="s">
        <v>50</v>
      </c>
      <c r="C592" s="3" t="n">
        <v>46293.7918518519</v>
      </c>
      <c r="D592" s="2" t="s">
        <v>29</v>
      </c>
      <c r="E592" s="2" t="n">
        <v>0</v>
      </c>
      <c r="F592" s="2" t="s">
        <v>18</v>
      </c>
      <c r="G592" s="2"/>
      <c r="H592" s="2" t="str">
        <f aca="false">VLOOKUP(B592,$N$2:$S$41,3,FALSE())</f>
        <v>Model-Y</v>
      </c>
      <c r="I592" s="2" t="str">
        <f aca="false">VLOOKUP(B592,$N$2:$S$41,2,FALSE())</f>
        <v>Санкт-Петербург, Московский пр-т</v>
      </c>
      <c r="J592" s="2" t="n">
        <f aca="false">IF(F592="success",1,0)</f>
        <v>1</v>
      </c>
      <c r="K592" s="2" t="n">
        <f aca="false">VLOOKUP(H592,Lookup!$A$4:$B$6,2,FALSE())</f>
        <v>14</v>
      </c>
    </row>
    <row r="593" customFormat="false" ht="15" hidden="false" customHeight="false" outlineLevel="0" collapsed="false">
      <c r="A593" s="2" t="s">
        <v>702</v>
      </c>
      <c r="B593" s="2" t="s">
        <v>96</v>
      </c>
      <c r="C593" s="3" t="n">
        <v>46293.8132060185</v>
      </c>
      <c r="D593" s="2" t="s">
        <v>17</v>
      </c>
      <c r="E593" s="2" t="n">
        <v>500</v>
      </c>
      <c r="F593" s="2" t="s">
        <v>18</v>
      </c>
      <c r="G593" s="2"/>
      <c r="H593" s="2" t="str">
        <f aca="false">VLOOKUP(B593,$N$2:$S$41,3,FALSE())</f>
        <v>Model-X</v>
      </c>
      <c r="I593" s="2" t="str">
        <f aca="false">VLOOKUP(B593,$N$2:$S$41,2,FALSE())</f>
        <v>Нижний Новгород, Белинского</v>
      </c>
      <c r="J593" s="2" t="n">
        <f aca="false">IF(F593="success",1,0)</f>
        <v>1</v>
      </c>
      <c r="K593" s="2" t="n">
        <f aca="false">VLOOKUP(H593,Lookup!$A$4:$B$6,2,FALSE())</f>
        <v>18</v>
      </c>
    </row>
    <row r="594" customFormat="false" ht="15" hidden="false" customHeight="false" outlineLevel="0" collapsed="false">
      <c r="A594" s="2" t="s">
        <v>703</v>
      </c>
      <c r="B594" s="2" t="s">
        <v>16</v>
      </c>
      <c r="C594" s="3" t="n">
        <v>46293.8733449074</v>
      </c>
      <c r="D594" s="2" t="s">
        <v>17</v>
      </c>
      <c r="E594" s="2" t="n">
        <v>5000</v>
      </c>
      <c r="F594" s="2" t="s">
        <v>76</v>
      </c>
      <c r="G594" s="2" t="s">
        <v>77</v>
      </c>
      <c r="H594" s="2" t="str">
        <f aca="false">VLOOKUP(B594,$N$2:$S$41,3,FALSE())</f>
        <v>Model-X</v>
      </c>
      <c r="I594" s="2" t="str">
        <f aca="false">VLOOKUP(B594,$N$2:$S$41,2,FALSE())</f>
        <v>Москва, Тверская</v>
      </c>
      <c r="J594" s="2" t="n">
        <f aca="false">IF(F594="success",1,0)</f>
        <v>0</v>
      </c>
      <c r="K594" s="2" t="n">
        <f aca="false">VLOOKUP(H594,Lookup!$A$4:$B$6,2,FALSE())</f>
        <v>18</v>
      </c>
    </row>
    <row r="595" customFormat="false" ht="15" hidden="false" customHeight="false" outlineLevel="0" collapsed="false">
      <c r="A595" s="2" t="s">
        <v>704</v>
      </c>
      <c r="B595" s="2" t="s">
        <v>42</v>
      </c>
      <c r="C595" s="3" t="n">
        <v>46293.9038773148</v>
      </c>
      <c r="D595" s="2" t="s">
        <v>65</v>
      </c>
      <c r="E595" s="2" t="n">
        <v>3000</v>
      </c>
      <c r="F595" s="2" t="s">
        <v>18</v>
      </c>
      <c r="G595" s="2"/>
      <c r="H595" s="2" t="str">
        <f aca="false">VLOOKUP(B595,$N$2:$S$41,3,FALSE())</f>
        <v>Model-X</v>
      </c>
      <c r="I595" s="2" t="str">
        <f aca="false">VLOOKUP(B595,$N$2:$S$41,2,FALSE())</f>
        <v>Краснодар, Гимназическая</v>
      </c>
      <c r="J595" s="2" t="n">
        <f aca="false">IF(F595="success",1,0)</f>
        <v>1</v>
      </c>
      <c r="K595" s="2" t="n">
        <f aca="false">VLOOKUP(H595,Lookup!$A$4:$B$6,2,FALSE())</f>
        <v>18</v>
      </c>
    </row>
    <row r="596" customFormat="false" ht="15" hidden="false" customHeight="false" outlineLevel="0" collapsed="false">
      <c r="A596" s="2" t="s">
        <v>705</v>
      </c>
      <c r="B596" s="2" t="s">
        <v>59</v>
      </c>
      <c r="C596" s="3" t="n">
        <v>46293.9055439815</v>
      </c>
      <c r="D596" s="2" t="s">
        <v>65</v>
      </c>
      <c r="E596" s="2" t="n">
        <v>1500</v>
      </c>
      <c r="F596" s="2" t="s">
        <v>18</v>
      </c>
      <c r="G596" s="2"/>
      <c r="H596" s="2" t="str">
        <f aca="false">VLOOKUP(B596,$N$2:$S$41,3,FALSE())</f>
        <v>Model-X</v>
      </c>
      <c r="I596" s="2" t="str">
        <f aca="false">VLOOKUP(B596,$N$2:$S$41,2,FALSE())</f>
        <v>Санкт-Петербург, Большой пр-т</v>
      </c>
      <c r="J596" s="2" t="n">
        <f aca="false">IF(F596="success",1,0)</f>
        <v>1</v>
      </c>
      <c r="K596" s="2" t="n">
        <f aca="false">VLOOKUP(H596,Lookup!$A$4:$B$6,2,FALSE())</f>
        <v>18</v>
      </c>
    </row>
    <row r="597" customFormat="false" ht="15" hidden="false" customHeight="false" outlineLevel="0" collapsed="false">
      <c r="A597" s="2" t="s">
        <v>706</v>
      </c>
      <c r="B597" s="2" t="s">
        <v>139</v>
      </c>
      <c r="C597" s="3" t="n">
        <v>46293.9248611111</v>
      </c>
      <c r="D597" s="2" t="s">
        <v>17</v>
      </c>
      <c r="E597" s="2" t="n">
        <v>10000</v>
      </c>
      <c r="F597" s="2" t="s">
        <v>18</v>
      </c>
      <c r="G597" s="2"/>
      <c r="H597" s="2" t="str">
        <f aca="false">VLOOKUP(B597,$N$2:$S$41,3,FALSE())</f>
        <v>Model-X</v>
      </c>
      <c r="I597" s="2" t="str">
        <f aca="false">VLOOKUP(B597,$N$2:$S$41,2,FALSE())</f>
        <v>Воронеж, Революции</v>
      </c>
      <c r="J597" s="2" t="n">
        <f aca="false">IF(F597="success",1,0)</f>
        <v>1</v>
      </c>
      <c r="K597" s="2" t="n">
        <f aca="false">VLOOKUP(H597,Lookup!$A$4:$B$6,2,FALSE())</f>
        <v>18</v>
      </c>
    </row>
    <row r="598" customFormat="false" ht="15" hidden="false" customHeight="false" outlineLevel="0" collapsed="false">
      <c r="A598" s="2" t="s">
        <v>707</v>
      </c>
      <c r="B598" s="2" t="s">
        <v>78</v>
      </c>
      <c r="C598" s="3" t="n">
        <v>46294.3184027778</v>
      </c>
      <c r="D598" s="2" t="s">
        <v>46</v>
      </c>
      <c r="E598" s="2" t="n">
        <v>3000</v>
      </c>
      <c r="F598" s="2" t="s">
        <v>18</v>
      </c>
      <c r="G598" s="2"/>
      <c r="H598" s="2" t="str">
        <f aca="false">VLOOKUP(B598,$N$2:$S$41,3,FALSE())</f>
        <v>Model-Z</v>
      </c>
      <c r="I598" s="2" t="str">
        <f aca="false">VLOOKUP(B598,$N$2:$S$41,2,FALSE())</f>
        <v>Екатеринбург, Ленина</v>
      </c>
      <c r="J598" s="2" t="n">
        <f aca="false">IF(F598="success",1,0)</f>
        <v>1</v>
      </c>
      <c r="K598" s="2" t="n">
        <f aca="false">VLOOKUP(H598,Lookup!$A$4:$B$6,2,FALSE())</f>
        <v>16</v>
      </c>
    </row>
    <row r="599" customFormat="false" ht="15" hidden="false" customHeight="false" outlineLevel="0" collapsed="false">
      <c r="A599" s="2" t="s">
        <v>708</v>
      </c>
      <c r="B599" s="2" t="s">
        <v>35</v>
      </c>
      <c r="C599" s="3" t="n">
        <v>46294.3542361111</v>
      </c>
      <c r="D599" s="2" t="s">
        <v>29</v>
      </c>
      <c r="E599" s="2" t="n">
        <v>0</v>
      </c>
      <c r="F599" s="2" t="s">
        <v>76</v>
      </c>
      <c r="G599" s="2" t="s">
        <v>77</v>
      </c>
      <c r="H599" s="2" t="str">
        <f aca="false">VLOOKUP(B599,$N$2:$S$41,3,FALSE())</f>
        <v>Model-X</v>
      </c>
      <c r="I599" s="2" t="str">
        <f aca="false">VLOOKUP(B599,$N$2:$S$41,2,FALSE())</f>
        <v>Москва, Ленинградский пр-т</v>
      </c>
      <c r="J599" s="2" t="n">
        <f aca="false">IF(F599="success",1,0)</f>
        <v>0</v>
      </c>
      <c r="K599" s="2" t="n">
        <f aca="false">VLOOKUP(H599,Lookup!$A$4:$B$6,2,FALSE())</f>
        <v>18</v>
      </c>
    </row>
    <row r="600" customFormat="false" ht="15" hidden="false" customHeight="false" outlineLevel="0" collapsed="false">
      <c r="A600" s="2" t="s">
        <v>709</v>
      </c>
      <c r="B600" s="2" t="s">
        <v>78</v>
      </c>
      <c r="C600" s="3" t="n">
        <v>46294.359375</v>
      </c>
      <c r="D600" s="2" t="s">
        <v>17</v>
      </c>
      <c r="E600" s="2" t="n">
        <v>15000</v>
      </c>
      <c r="F600" s="2" t="s">
        <v>18</v>
      </c>
      <c r="G600" s="2"/>
      <c r="H600" s="2" t="str">
        <f aca="false">VLOOKUP(B600,$N$2:$S$41,3,FALSE())</f>
        <v>Model-Z</v>
      </c>
      <c r="I600" s="2" t="str">
        <f aca="false">VLOOKUP(B600,$N$2:$S$41,2,FALSE())</f>
        <v>Екатеринбург, Ленина</v>
      </c>
      <c r="J600" s="2" t="n">
        <f aca="false">IF(F600="success",1,0)</f>
        <v>1</v>
      </c>
      <c r="K600" s="2" t="n">
        <f aca="false">VLOOKUP(H600,Lookup!$A$4:$B$6,2,FALSE())</f>
        <v>16</v>
      </c>
    </row>
    <row r="601" customFormat="false" ht="15" hidden="false" customHeight="false" outlineLevel="0" collapsed="false">
      <c r="A601" s="2" t="s">
        <v>710</v>
      </c>
      <c r="B601" s="2" t="s">
        <v>45</v>
      </c>
      <c r="C601" s="3" t="n">
        <v>46294.3733333333</v>
      </c>
      <c r="D601" s="2" t="s">
        <v>17</v>
      </c>
      <c r="E601" s="2" t="n">
        <v>7000</v>
      </c>
      <c r="F601" s="2" t="s">
        <v>18</v>
      </c>
      <c r="G601" s="2"/>
      <c r="H601" s="2" t="str">
        <f aca="false">VLOOKUP(B601,$N$2:$S$41,3,FALSE())</f>
        <v>Model-Y</v>
      </c>
      <c r="I601" s="2" t="str">
        <f aca="false">VLOOKUP(B601,$N$2:$S$41,2,FALSE())</f>
        <v>Воронеж, Плехановская</v>
      </c>
      <c r="J601" s="2" t="n">
        <f aca="false">IF(F601="success",1,0)</f>
        <v>1</v>
      </c>
      <c r="K601" s="2" t="n">
        <f aca="false">VLOOKUP(H601,Lookup!$A$4:$B$6,2,FALSE())</f>
        <v>14</v>
      </c>
    </row>
    <row r="602" customFormat="false" ht="15" hidden="false" customHeight="false" outlineLevel="0" collapsed="false">
      <c r="A602" s="2" t="s">
        <v>711</v>
      </c>
      <c r="B602" s="2" t="s">
        <v>59</v>
      </c>
      <c r="C602" s="3" t="n">
        <v>46294.3929976852</v>
      </c>
      <c r="D602" s="2" t="s">
        <v>17</v>
      </c>
      <c r="E602" s="2" t="n">
        <v>500</v>
      </c>
      <c r="F602" s="2" t="s">
        <v>18</v>
      </c>
      <c r="G602" s="2"/>
      <c r="H602" s="2" t="str">
        <f aca="false">VLOOKUP(B602,$N$2:$S$41,3,FALSE())</f>
        <v>Model-X</v>
      </c>
      <c r="I602" s="2" t="str">
        <f aca="false">VLOOKUP(B602,$N$2:$S$41,2,FALSE())</f>
        <v>Санкт-Петербург, Большой пр-т</v>
      </c>
      <c r="J602" s="2" t="n">
        <f aca="false">IF(F602="success",1,0)</f>
        <v>1</v>
      </c>
      <c r="K602" s="2" t="n">
        <f aca="false">VLOOKUP(H602,Lookup!$A$4:$B$6,2,FALSE())</f>
        <v>18</v>
      </c>
    </row>
    <row r="603" customFormat="false" ht="15" hidden="false" customHeight="false" outlineLevel="0" collapsed="false">
      <c r="A603" s="2" t="s">
        <v>712</v>
      </c>
      <c r="B603" s="2" t="s">
        <v>53</v>
      </c>
      <c r="C603" s="3" t="n">
        <v>46294.3964814815</v>
      </c>
      <c r="D603" s="2" t="s">
        <v>17</v>
      </c>
      <c r="E603" s="2" t="n">
        <v>500</v>
      </c>
      <c r="F603" s="2" t="s">
        <v>18</v>
      </c>
      <c r="G603" s="2"/>
      <c r="H603" s="2" t="str">
        <f aca="false">VLOOKUP(B603,$N$2:$S$41,3,FALSE())</f>
        <v>Model-Z</v>
      </c>
      <c r="I603" s="2" t="str">
        <f aca="false">VLOOKUP(B603,$N$2:$S$41,2,FALSE())</f>
        <v>Ростов-на-Дону, Будённовский</v>
      </c>
      <c r="J603" s="2" t="n">
        <f aca="false">IF(F603="success",1,0)</f>
        <v>1</v>
      </c>
      <c r="K603" s="2" t="n">
        <f aca="false">VLOOKUP(H603,Lookup!$A$4:$B$6,2,FALSE())</f>
        <v>16</v>
      </c>
    </row>
    <row r="604" customFormat="false" ht="15" hidden="false" customHeight="false" outlineLevel="0" collapsed="false">
      <c r="A604" s="2" t="s">
        <v>713</v>
      </c>
      <c r="B604" s="2" t="s">
        <v>84</v>
      </c>
      <c r="C604" s="3" t="n">
        <v>46294.4094791667</v>
      </c>
      <c r="D604" s="2" t="s">
        <v>29</v>
      </c>
      <c r="E604" s="2" t="n">
        <v>0</v>
      </c>
      <c r="F604" s="2" t="s">
        <v>18</v>
      </c>
      <c r="G604" s="2"/>
      <c r="H604" s="2" t="str">
        <f aca="false">VLOOKUP(B604,$N$2:$S$41,3,FALSE())</f>
        <v>Model-X</v>
      </c>
      <c r="I604" s="2" t="str">
        <f aca="false">VLOOKUP(B604,$N$2:$S$41,2,FALSE())</f>
        <v>Новосибирск, Красный пр-т</v>
      </c>
      <c r="J604" s="2" t="n">
        <f aca="false">IF(F604="success",1,0)</f>
        <v>1</v>
      </c>
      <c r="K604" s="2" t="n">
        <f aca="false">VLOOKUP(H604,Lookup!$A$4:$B$6,2,FALSE())</f>
        <v>18</v>
      </c>
    </row>
    <row r="605" customFormat="false" ht="15" hidden="false" customHeight="false" outlineLevel="0" collapsed="false">
      <c r="A605" s="2" t="s">
        <v>714</v>
      </c>
      <c r="B605" s="2" t="s">
        <v>53</v>
      </c>
      <c r="C605" s="3" t="n">
        <v>46294.4111342593</v>
      </c>
      <c r="D605" s="2" t="s">
        <v>17</v>
      </c>
      <c r="E605" s="2" t="n">
        <v>7000</v>
      </c>
      <c r="F605" s="2" t="s">
        <v>18</v>
      </c>
      <c r="G605" s="2"/>
      <c r="H605" s="2" t="str">
        <f aca="false">VLOOKUP(B605,$N$2:$S$41,3,FALSE())</f>
        <v>Model-Z</v>
      </c>
      <c r="I605" s="2" t="str">
        <f aca="false">VLOOKUP(B605,$N$2:$S$41,2,FALSE())</f>
        <v>Ростов-на-Дону, Будённовский</v>
      </c>
      <c r="J605" s="2" t="n">
        <f aca="false">IF(F605="success",1,0)</f>
        <v>1</v>
      </c>
      <c r="K605" s="2" t="n">
        <f aca="false">VLOOKUP(H605,Lookup!$A$4:$B$6,2,FALSE())</f>
        <v>16</v>
      </c>
    </row>
    <row r="606" customFormat="false" ht="15" hidden="false" customHeight="false" outlineLevel="0" collapsed="false">
      <c r="A606" s="2" t="s">
        <v>715</v>
      </c>
      <c r="B606" s="2" t="s">
        <v>106</v>
      </c>
      <c r="C606" s="3" t="n">
        <v>46294.4239351852</v>
      </c>
      <c r="D606" s="2" t="s">
        <v>46</v>
      </c>
      <c r="E606" s="2" t="n">
        <v>15000</v>
      </c>
      <c r="F606" s="2" t="s">
        <v>18</v>
      </c>
      <c r="G606" s="2"/>
      <c r="H606" s="2" t="str">
        <f aca="false">VLOOKUP(B606,$N$2:$S$41,3,FALSE())</f>
        <v>Model-Z</v>
      </c>
      <c r="I606" s="2" t="str">
        <f aca="false">VLOOKUP(B606,$N$2:$S$41,2,FALSE())</f>
        <v>Нижний Новгород, Рождественская</v>
      </c>
      <c r="J606" s="2" t="n">
        <f aca="false">IF(F606="success",1,0)</f>
        <v>1</v>
      </c>
      <c r="K606" s="2" t="n">
        <f aca="false">VLOOKUP(H606,Lookup!$A$4:$B$6,2,FALSE())</f>
        <v>16</v>
      </c>
    </row>
    <row r="607" customFormat="false" ht="15" hidden="false" customHeight="false" outlineLevel="0" collapsed="false">
      <c r="A607" s="2" t="s">
        <v>716</v>
      </c>
      <c r="B607" s="2" t="s">
        <v>62</v>
      </c>
      <c r="C607" s="3" t="n">
        <v>46294.429224537</v>
      </c>
      <c r="D607" s="2" t="s">
        <v>46</v>
      </c>
      <c r="E607" s="2" t="n">
        <v>15000</v>
      </c>
      <c r="F607" s="2" t="s">
        <v>100</v>
      </c>
      <c r="G607" s="2"/>
      <c r="H607" s="2" t="str">
        <f aca="false">VLOOKUP(B607,$N$2:$S$41,3,FALSE())</f>
        <v>Model-X</v>
      </c>
      <c r="I607" s="2" t="str">
        <f aca="false">VLOOKUP(B607,$N$2:$S$41,2,FALSE())</f>
        <v>Казань, Баумана</v>
      </c>
      <c r="J607" s="2" t="n">
        <f aca="false">IF(F607="success",1,0)</f>
        <v>0</v>
      </c>
      <c r="K607" s="2" t="n">
        <f aca="false">VLOOKUP(H607,Lookup!$A$4:$B$6,2,FALSE())</f>
        <v>18</v>
      </c>
    </row>
    <row r="608" customFormat="false" ht="15" hidden="false" customHeight="false" outlineLevel="0" collapsed="false">
      <c r="A608" s="2" t="s">
        <v>717</v>
      </c>
      <c r="B608" s="2" t="s">
        <v>53</v>
      </c>
      <c r="C608" s="3" t="n">
        <v>46294.4375347222</v>
      </c>
      <c r="D608" s="2" t="s">
        <v>17</v>
      </c>
      <c r="E608" s="2" t="n">
        <v>1000</v>
      </c>
      <c r="F608" s="2" t="s">
        <v>100</v>
      </c>
      <c r="G608" s="2"/>
      <c r="H608" s="2" t="str">
        <f aca="false">VLOOKUP(B608,$N$2:$S$41,3,FALSE())</f>
        <v>Model-Z</v>
      </c>
      <c r="I608" s="2" t="str">
        <f aca="false">VLOOKUP(B608,$N$2:$S$41,2,FALSE())</f>
        <v>Ростов-на-Дону, Будённовский</v>
      </c>
      <c r="J608" s="2" t="n">
        <f aca="false">IF(F608="success",1,0)</f>
        <v>0</v>
      </c>
      <c r="K608" s="2" t="n">
        <f aca="false">VLOOKUP(H608,Lookup!$A$4:$B$6,2,FALSE())</f>
        <v>16</v>
      </c>
    </row>
    <row r="609" customFormat="false" ht="15" hidden="false" customHeight="false" outlineLevel="0" collapsed="false">
      <c r="A609" s="2" t="s">
        <v>718</v>
      </c>
      <c r="B609" s="2" t="s">
        <v>34</v>
      </c>
      <c r="C609" s="3" t="n">
        <v>46294.4457523148</v>
      </c>
      <c r="D609" s="2" t="s">
        <v>46</v>
      </c>
      <c r="E609" s="2" t="n">
        <v>500</v>
      </c>
      <c r="F609" s="2" t="s">
        <v>18</v>
      </c>
      <c r="G609" s="2"/>
      <c r="H609" s="2" t="str">
        <f aca="false">VLOOKUP(B609,$N$2:$S$41,3,FALSE())</f>
        <v>Model-X</v>
      </c>
      <c r="I609" s="2" t="str">
        <f aca="false">VLOOKUP(B609,$N$2:$S$41,2,FALSE())</f>
        <v>Москва, Профсоюзная</v>
      </c>
      <c r="J609" s="2" t="n">
        <f aca="false">IF(F609="success",1,0)</f>
        <v>1</v>
      </c>
      <c r="K609" s="2" t="n">
        <f aca="false">VLOOKUP(H609,Lookup!$A$4:$B$6,2,FALSE())</f>
        <v>18</v>
      </c>
    </row>
    <row r="610" customFormat="false" ht="15" hidden="false" customHeight="false" outlineLevel="0" collapsed="false">
      <c r="A610" s="2" t="s">
        <v>719</v>
      </c>
      <c r="B610" s="2" t="s">
        <v>50</v>
      </c>
      <c r="C610" s="3" t="n">
        <v>46294.4642824074</v>
      </c>
      <c r="D610" s="2" t="s">
        <v>29</v>
      </c>
      <c r="E610" s="2" t="n">
        <v>0</v>
      </c>
      <c r="F610" s="2" t="s">
        <v>18</v>
      </c>
      <c r="G610" s="2"/>
      <c r="H610" s="2" t="str">
        <f aca="false">VLOOKUP(B610,$N$2:$S$41,3,FALSE())</f>
        <v>Model-Y</v>
      </c>
      <c r="I610" s="2" t="str">
        <f aca="false">VLOOKUP(B610,$N$2:$S$41,2,FALSE())</f>
        <v>Санкт-Петербург, Московский пр-т</v>
      </c>
      <c r="J610" s="2" t="n">
        <f aca="false">IF(F610="success",1,0)</f>
        <v>1</v>
      </c>
      <c r="K610" s="2" t="n">
        <f aca="false">VLOOKUP(H610,Lookup!$A$4:$B$6,2,FALSE())</f>
        <v>14</v>
      </c>
    </row>
    <row r="611" customFormat="false" ht="15" hidden="false" customHeight="false" outlineLevel="0" collapsed="false">
      <c r="A611" s="2" t="s">
        <v>720</v>
      </c>
      <c r="B611" s="2" t="s">
        <v>53</v>
      </c>
      <c r="C611" s="3" t="n">
        <v>46294.4678935185</v>
      </c>
      <c r="D611" s="2" t="s">
        <v>17</v>
      </c>
      <c r="E611" s="2" t="n">
        <v>15000</v>
      </c>
      <c r="F611" s="2" t="s">
        <v>18</v>
      </c>
      <c r="G611" s="2"/>
      <c r="H611" s="2" t="str">
        <f aca="false">VLOOKUP(B611,$N$2:$S$41,3,FALSE())</f>
        <v>Model-Z</v>
      </c>
      <c r="I611" s="2" t="str">
        <f aca="false">VLOOKUP(B611,$N$2:$S$41,2,FALSE())</f>
        <v>Ростов-на-Дону, Будённовский</v>
      </c>
      <c r="J611" s="2" t="n">
        <f aca="false">IF(F611="success",1,0)</f>
        <v>1</v>
      </c>
      <c r="K611" s="2" t="n">
        <f aca="false">VLOOKUP(H611,Lookup!$A$4:$B$6,2,FALSE())</f>
        <v>16</v>
      </c>
    </row>
    <row r="612" customFormat="false" ht="15" hidden="false" customHeight="false" outlineLevel="0" collapsed="false">
      <c r="A612" s="2" t="s">
        <v>721</v>
      </c>
      <c r="B612" s="2" t="s">
        <v>97</v>
      </c>
      <c r="C612" s="3" t="n">
        <v>46294.4888888889</v>
      </c>
      <c r="D612" s="2" t="s">
        <v>29</v>
      </c>
      <c r="E612" s="2" t="n">
        <v>0</v>
      </c>
      <c r="F612" s="2" t="s">
        <v>18</v>
      </c>
      <c r="G612" s="2"/>
      <c r="H612" s="2" t="str">
        <f aca="false">VLOOKUP(B612,$N$2:$S$41,3,FALSE())</f>
        <v>Model-X</v>
      </c>
      <c r="I612" s="2" t="str">
        <f aca="false">VLOOKUP(B612,$N$2:$S$41,2,FALSE())</f>
        <v>Новосибирск, Гоголя</v>
      </c>
      <c r="J612" s="2" t="n">
        <f aca="false">IF(F612="success",1,0)</f>
        <v>1</v>
      </c>
      <c r="K612" s="2" t="n">
        <f aca="false">VLOOKUP(H612,Lookup!$A$4:$B$6,2,FALSE())</f>
        <v>18</v>
      </c>
    </row>
    <row r="613" customFormat="false" ht="15" hidden="false" customHeight="false" outlineLevel="0" collapsed="false">
      <c r="A613" s="2" t="s">
        <v>722</v>
      </c>
      <c r="B613" s="2" t="s">
        <v>93</v>
      </c>
      <c r="C613" s="3" t="n">
        <v>46294.4986458333</v>
      </c>
      <c r="D613" s="2" t="s">
        <v>65</v>
      </c>
      <c r="E613" s="2" t="n">
        <v>3000</v>
      </c>
      <c r="F613" s="2" t="s">
        <v>18</v>
      </c>
      <c r="G613" s="2"/>
      <c r="H613" s="2" t="str">
        <f aca="false">VLOOKUP(B613,$N$2:$S$41,3,FALSE())</f>
        <v>Model-Y</v>
      </c>
      <c r="I613" s="2" t="str">
        <f aca="false">VLOOKUP(B613,$N$2:$S$41,2,FALSE())</f>
        <v>Новосибирск, Ленина</v>
      </c>
      <c r="J613" s="2" t="n">
        <f aca="false">IF(F613="success",1,0)</f>
        <v>1</v>
      </c>
      <c r="K613" s="2" t="n">
        <f aca="false">VLOOKUP(H613,Lookup!$A$4:$B$6,2,FALSE())</f>
        <v>14</v>
      </c>
    </row>
    <row r="614" customFormat="false" ht="15" hidden="false" customHeight="false" outlineLevel="0" collapsed="false">
      <c r="A614" s="2" t="s">
        <v>723</v>
      </c>
      <c r="B614" s="2" t="s">
        <v>24</v>
      </c>
      <c r="C614" s="3" t="n">
        <v>46294.5024537037</v>
      </c>
      <c r="D614" s="2" t="s">
        <v>17</v>
      </c>
      <c r="E614" s="2" t="n">
        <v>3000</v>
      </c>
      <c r="F614" s="2" t="s">
        <v>18</v>
      </c>
      <c r="G614" s="2"/>
      <c r="H614" s="2" t="str">
        <f aca="false">VLOOKUP(B614,$N$2:$S$41,3,FALSE())</f>
        <v>Model-Y</v>
      </c>
      <c r="I614" s="2" t="str">
        <f aca="false">VLOOKUP(B614,$N$2:$S$41,2,FALSE())</f>
        <v>Москва, Арбат</v>
      </c>
      <c r="J614" s="2" t="n">
        <f aca="false">IF(F614="success",1,0)</f>
        <v>1</v>
      </c>
      <c r="K614" s="2" t="n">
        <f aca="false">VLOOKUP(H614,Lookup!$A$4:$B$6,2,FALSE())</f>
        <v>14</v>
      </c>
    </row>
    <row r="615" customFormat="false" ht="15" hidden="false" customHeight="false" outlineLevel="0" collapsed="false">
      <c r="A615" s="2" t="s">
        <v>724</v>
      </c>
      <c r="B615" s="2" t="s">
        <v>84</v>
      </c>
      <c r="C615" s="3" t="n">
        <v>46294.5301388889</v>
      </c>
      <c r="D615" s="2" t="s">
        <v>65</v>
      </c>
      <c r="E615" s="2" t="n">
        <v>10000</v>
      </c>
      <c r="F615" s="2" t="s">
        <v>76</v>
      </c>
      <c r="G615" s="2" t="s">
        <v>77</v>
      </c>
      <c r="H615" s="2" t="str">
        <f aca="false">VLOOKUP(B615,$N$2:$S$41,3,FALSE())</f>
        <v>Model-X</v>
      </c>
      <c r="I615" s="2" t="str">
        <f aca="false">VLOOKUP(B615,$N$2:$S$41,2,FALSE())</f>
        <v>Новосибирск, Красный пр-т</v>
      </c>
      <c r="J615" s="2" t="n">
        <f aca="false">IF(F615="success",1,0)</f>
        <v>0</v>
      </c>
      <c r="K615" s="2" t="n">
        <f aca="false">VLOOKUP(H615,Lookup!$A$4:$B$6,2,FALSE())</f>
        <v>18</v>
      </c>
    </row>
    <row r="616" customFormat="false" ht="15" hidden="false" customHeight="false" outlineLevel="0" collapsed="false">
      <c r="A616" s="2" t="s">
        <v>725</v>
      </c>
      <c r="B616" s="2" t="s">
        <v>114</v>
      </c>
      <c r="C616" s="3" t="n">
        <v>46294.5906018519</v>
      </c>
      <c r="D616" s="2" t="s">
        <v>17</v>
      </c>
      <c r="E616" s="2" t="n">
        <v>10000</v>
      </c>
      <c r="F616" s="2" t="s">
        <v>18</v>
      </c>
      <c r="G616" s="2"/>
      <c r="H616" s="2" t="str">
        <f aca="false">VLOOKUP(B616,$N$2:$S$41,3,FALSE())</f>
        <v>Model-Z</v>
      </c>
      <c r="I616" s="2" t="str">
        <f aca="false">VLOOKUP(B616,$N$2:$S$41,2,FALSE())</f>
        <v>Самара, Куйбышева</v>
      </c>
      <c r="J616" s="2" t="n">
        <f aca="false">IF(F616="success",1,0)</f>
        <v>1</v>
      </c>
      <c r="K616" s="2" t="n">
        <f aca="false">VLOOKUP(H616,Lookup!$A$4:$B$6,2,FALSE())</f>
        <v>16</v>
      </c>
    </row>
    <row r="617" customFormat="false" ht="15" hidden="false" customHeight="false" outlineLevel="0" collapsed="false">
      <c r="A617" s="2" t="s">
        <v>726</v>
      </c>
      <c r="B617" s="2" t="s">
        <v>42</v>
      </c>
      <c r="C617" s="3" t="n">
        <v>46294.6151273148</v>
      </c>
      <c r="D617" s="2" t="s">
        <v>17</v>
      </c>
      <c r="E617" s="2" t="n">
        <v>2000</v>
      </c>
      <c r="F617" s="2" t="s">
        <v>18</v>
      </c>
      <c r="G617" s="2"/>
      <c r="H617" s="2" t="str">
        <f aca="false">VLOOKUP(B617,$N$2:$S$41,3,FALSE())</f>
        <v>Model-X</v>
      </c>
      <c r="I617" s="2" t="str">
        <f aca="false">VLOOKUP(B617,$N$2:$S$41,2,FALSE())</f>
        <v>Краснодар, Гимназическая</v>
      </c>
      <c r="J617" s="2" t="n">
        <f aca="false">IF(F617="success",1,0)</f>
        <v>1</v>
      </c>
      <c r="K617" s="2" t="n">
        <f aca="false">VLOOKUP(H617,Lookup!$A$4:$B$6,2,FALSE())</f>
        <v>18</v>
      </c>
    </row>
    <row r="618" customFormat="false" ht="15" hidden="false" customHeight="false" outlineLevel="0" collapsed="false">
      <c r="A618" s="2" t="s">
        <v>727</v>
      </c>
      <c r="B618" s="2" t="s">
        <v>39</v>
      </c>
      <c r="C618" s="3" t="n">
        <v>46294.6215972222</v>
      </c>
      <c r="D618" s="2" t="s">
        <v>29</v>
      </c>
      <c r="E618" s="2" t="n">
        <v>0</v>
      </c>
      <c r="F618" s="2" t="s">
        <v>18</v>
      </c>
      <c r="G618" s="2"/>
      <c r="H618" s="2" t="str">
        <f aca="false">VLOOKUP(B618,$N$2:$S$41,3,FALSE())</f>
        <v>Model-Y</v>
      </c>
      <c r="I618" s="2" t="str">
        <f aca="false">VLOOKUP(B618,$N$2:$S$41,2,FALSE())</f>
        <v>Москва, Кутузовский пр-т</v>
      </c>
      <c r="J618" s="2" t="n">
        <f aca="false">IF(F618="success",1,0)</f>
        <v>1</v>
      </c>
      <c r="K618" s="2" t="n">
        <f aca="false">VLOOKUP(H618,Lookup!$A$4:$B$6,2,FALSE())</f>
        <v>14</v>
      </c>
    </row>
    <row r="619" customFormat="false" ht="15" hidden="false" customHeight="false" outlineLevel="0" collapsed="false">
      <c r="A619" s="2" t="s">
        <v>728</v>
      </c>
      <c r="B619" s="2" t="s">
        <v>30</v>
      </c>
      <c r="C619" s="3" t="n">
        <v>46294.7275231482</v>
      </c>
      <c r="D619" s="2" t="s">
        <v>65</v>
      </c>
      <c r="E619" s="2" t="n">
        <v>7000</v>
      </c>
      <c r="F619" s="2" t="s">
        <v>18</v>
      </c>
      <c r="G619" s="2"/>
      <c r="H619" s="2" t="str">
        <f aca="false">VLOOKUP(B619,$N$2:$S$41,3,FALSE())</f>
        <v>Model-Z</v>
      </c>
      <c r="I619" s="2" t="str">
        <f aca="false">VLOOKUP(B619,$N$2:$S$41,2,FALSE())</f>
        <v>Москва, Новослободская</v>
      </c>
      <c r="J619" s="2" t="n">
        <f aca="false">IF(F619="success",1,0)</f>
        <v>1</v>
      </c>
      <c r="K619" s="2" t="n">
        <f aca="false">VLOOKUP(H619,Lookup!$A$4:$B$6,2,FALSE())</f>
        <v>16</v>
      </c>
    </row>
    <row r="620" customFormat="false" ht="15" hidden="false" customHeight="false" outlineLevel="0" collapsed="false">
      <c r="A620" s="2" t="s">
        <v>729</v>
      </c>
      <c r="B620" s="2" t="s">
        <v>24</v>
      </c>
      <c r="C620" s="3" t="n">
        <v>46294.7618981482</v>
      </c>
      <c r="D620" s="2" t="s">
        <v>46</v>
      </c>
      <c r="E620" s="2" t="n">
        <v>5000</v>
      </c>
      <c r="F620" s="2" t="s">
        <v>18</v>
      </c>
      <c r="G620" s="2"/>
      <c r="H620" s="2" t="str">
        <f aca="false">VLOOKUP(B620,$N$2:$S$41,3,FALSE())</f>
        <v>Model-Y</v>
      </c>
      <c r="I620" s="2" t="str">
        <f aca="false">VLOOKUP(B620,$N$2:$S$41,2,FALSE())</f>
        <v>Москва, Арбат</v>
      </c>
      <c r="J620" s="2" t="n">
        <f aca="false">IF(F620="success",1,0)</f>
        <v>1</v>
      </c>
      <c r="K620" s="2" t="n">
        <f aca="false">VLOOKUP(H620,Lookup!$A$4:$B$6,2,FALSE())</f>
        <v>14</v>
      </c>
    </row>
    <row r="621" customFormat="false" ht="15" hidden="false" customHeight="false" outlineLevel="0" collapsed="false">
      <c r="A621" s="2" t="s">
        <v>730</v>
      </c>
      <c r="B621" s="2" t="s">
        <v>39</v>
      </c>
      <c r="C621" s="3" t="n">
        <v>46294.7692939815</v>
      </c>
      <c r="D621" s="2" t="s">
        <v>46</v>
      </c>
      <c r="E621" s="2" t="n">
        <v>3000</v>
      </c>
      <c r="F621" s="2" t="s">
        <v>18</v>
      </c>
      <c r="G621" s="2"/>
      <c r="H621" s="2" t="str">
        <f aca="false">VLOOKUP(B621,$N$2:$S$41,3,FALSE())</f>
        <v>Model-Y</v>
      </c>
      <c r="I621" s="2" t="str">
        <f aca="false">VLOOKUP(B621,$N$2:$S$41,2,FALSE())</f>
        <v>Москва, Кутузовский пр-т</v>
      </c>
      <c r="J621" s="2" t="n">
        <f aca="false">IF(F621="success",1,0)</f>
        <v>1</v>
      </c>
      <c r="K621" s="2" t="n">
        <f aca="false">VLOOKUP(H621,Lookup!$A$4:$B$6,2,FALSE())</f>
        <v>14</v>
      </c>
    </row>
    <row r="622" customFormat="false" ht="15" hidden="false" customHeight="false" outlineLevel="0" collapsed="false">
      <c r="A622" s="2" t="s">
        <v>731</v>
      </c>
      <c r="B622" s="2" t="s">
        <v>50</v>
      </c>
      <c r="C622" s="3" t="n">
        <v>46294.772650463</v>
      </c>
      <c r="D622" s="2" t="s">
        <v>29</v>
      </c>
      <c r="E622" s="2" t="n">
        <v>0</v>
      </c>
      <c r="F622" s="2" t="s">
        <v>18</v>
      </c>
      <c r="G622" s="2"/>
      <c r="H622" s="2" t="str">
        <f aca="false">VLOOKUP(B622,$N$2:$S$41,3,FALSE())</f>
        <v>Model-Y</v>
      </c>
      <c r="I622" s="2" t="str">
        <f aca="false">VLOOKUP(B622,$N$2:$S$41,2,FALSE())</f>
        <v>Санкт-Петербург, Московский пр-т</v>
      </c>
      <c r="J622" s="2" t="n">
        <f aca="false">IF(F622="success",1,0)</f>
        <v>1</v>
      </c>
      <c r="K622" s="2" t="n">
        <f aca="false">VLOOKUP(H622,Lookup!$A$4:$B$6,2,FALSE())</f>
        <v>14</v>
      </c>
    </row>
    <row r="623" customFormat="false" ht="15" hidden="false" customHeight="false" outlineLevel="0" collapsed="false">
      <c r="A623" s="2" t="s">
        <v>732</v>
      </c>
      <c r="B623" s="2" t="s">
        <v>114</v>
      </c>
      <c r="C623" s="3" t="n">
        <v>46294.8053935185</v>
      </c>
      <c r="D623" s="2" t="s">
        <v>17</v>
      </c>
      <c r="E623" s="2" t="n">
        <v>7000</v>
      </c>
      <c r="F623" s="2" t="s">
        <v>18</v>
      </c>
      <c r="G623" s="2"/>
      <c r="H623" s="2" t="str">
        <f aca="false">VLOOKUP(B623,$N$2:$S$41,3,FALSE())</f>
        <v>Model-Z</v>
      </c>
      <c r="I623" s="2" t="str">
        <f aca="false">VLOOKUP(B623,$N$2:$S$41,2,FALSE())</f>
        <v>Самара, Куйбышева</v>
      </c>
      <c r="J623" s="2" t="n">
        <f aca="false">IF(F623="success",1,0)</f>
        <v>1</v>
      </c>
      <c r="K623" s="2" t="n">
        <f aca="false">VLOOKUP(H623,Lookup!$A$4:$B$6,2,FALSE())</f>
        <v>16</v>
      </c>
    </row>
    <row r="624" customFormat="false" ht="15" hidden="false" customHeight="false" outlineLevel="0" collapsed="false">
      <c r="A624" s="2" t="s">
        <v>733</v>
      </c>
      <c r="B624" s="2" t="s">
        <v>118</v>
      </c>
      <c r="C624" s="3" t="n">
        <v>46294.8384953704</v>
      </c>
      <c r="D624" s="2" t="s">
        <v>29</v>
      </c>
      <c r="E624" s="2" t="n">
        <v>0</v>
      </c>
      <c r="F624" s="2" t="s">
        <v>18</v>
      </c>
      <c r="G624" s="2"/>
      <c r="H624" s="2" t="str">
        <f aca="false">VLOOKUP(B624,$N$2:$S$41,3,FALSE())</f>
        <v>Model-X</v>
      </c>
      <c r="I624" s="2" t="str">
        <f aca="false">VLOOKUP(B624,$N$2:$S$41,2,FALSE())</f>
        <v>Самара, Молодогвардейская</v>
      </c>
      <c r="J624" s="2" t="n">
        <f aca="false">IF(F624="success",1,0)</f>
        <v>1</v>
      </c>
      <c r="K624" s="2" t="n">
        <f aca="false">VLOOKUP(H624,Lookup!$A$4:$B$6,2,FALSE())</f>
        <v>18</v>
      </c>
    </row>
    <row r="625" customFormat="false" ht="15" hidden="false" customHeight="false" outlineLevel="0" collapsed="false">
      <c r="A625" s="2" t="s">
        <v>734</v>
      </c>
      <c r="B625" s="2" t="s">
        <v>114</v>
      </c>
      <c r="C625" s="3" t="n">
        <v>46294.8403125</v>
      </c>
      <c r="D625" s="2" t="s">
        <v>17</v>
      </c>
      <c r="E625" s="2" t="n">
        <v>10000</v>
      </c>
      <c r="F625" s="2" t="s">
        <v>18</v>
      </c>
      <c r="G625" s="2"/>
      <c r="H625" s="2" t="str">
        <f aca="false">VLOOKUP(B625,$N$2:$S$41,3,FALSE())</f>
        <v>Model-Z</v>
      </c>
      <c r="I625" s="2" t="str">
        <f aca="false">VLOOKUP(B625,$N$2:$S$41,2,FALSE())</f>
        <v>Самара, Куйбышева</v>
      </c>
      <c r="J625" s="2" t="n">
        <f aca="false">IF(F625="success",1,0)</f>
        <v>1</v>
      </c>
      <c r="K625" s="2" t="n">
        <f aca="false">VLOOKUP(H625,Lookup!$A$4:$B$6,2,FALSE())</f>
        <v>16</v>
      </c>
    </row>
    <row r="626" customFormat="false" ht="15" hidden="false" customHeight="false" outlineLevel="0" collapsed="false">
      <c r="A626" s="2" t="s">
        <v>735</v>
      </c>
      <c r="B626" s="2" t="s">
        <v>96</v>
      </c>
      <c r="C626" s="3" t="n">
        <v>46294.8421412037</v>
      </c>
      <c r="D626" s="2" t="s">
        <v>46</v>
      </c>
      <c r="E626" s="2" t="n">
        <v>500</v>
      </c>
      <c r="F626" s="2" t="s">
        <v>18</v>
      </c>
      <c r="G626" s="2"/>
      <c r="H626" s="2" t="str">
        <f aca="false">VLOOKUP(B626,$N$2:$S$41,3,FALSE())</f>
        <v>Model-X</v>
      </c>
      <c r="I626" s="2" t="str">
        <f aca="false">VLOOKUP(B626,$N$2:$S$41,2,FALSE())</f>
        <v>Нижний Новгород, Белинского</v>
      </c>
      <c r="J626" s="2" t="n">
        <f aca="false">IF(F626="success",1,0)</f>
        <v>1</v>
      </c>
      <c r="K626" s="2" t="n">
        <f aca="false">VLOOKUP(H626,Lookup!$A$4:$B$6,2,FALSE())</f>
        <v>18</v>
      </c>
    </row>
    <row r="627" customFormat="false" ht="15" hidden="false" customHeight="false" outlineLevel="0" collapsed="false">
      <c r="A627" s="2" t="s">
        <v>736</v>
      </c>
      <c r="B627" s="2" t="s">
        <v>88</v>
      </c>
      <c r="C627" s="3" t="n">
        <v>46294.8459375</v>
      </c>
      <c r="D627" s="2" t="s">
        <v>17</v>
      </c>
      <c r="E627" s="2" t="n">
        <v>3000</v>
      </c>
      <c r="F627" s="2" t="s">
        <v>18</v>
      </c>
      <c r="G627" s="2"/>
      <c r="H627" s="2" t="str">
        <f aca="false">VLOOKUP(B627,$N$2:$S$41,3,FALSE())</f>
        <v>Model-Z</v>
      </c>
      <c r="I627" s="2" t="str">
        <f aca="false">VLOOKUP(B627,$N$2:$S$41,2,FALSE())</f>
        <v>Екатеринбург, Вайнера</v>
      </c>
      <c r="J627" s="2" t="n">
        <f aca="false">IF(F627="success",1,0)</f>
        <v>1</v>
      </c>
      <c r="K627" s="2" t="n">
        <f aca="false">VLOOKUP(H627,Lookup!$A$4:$B$6,2,FALSE())</f>
        <v>16</v>
      </c>
    </row>
    <row r="628" customFormat="false" ht="15" hidden="false" customHeight="false" outlineLevel="0" collapsed="false">
      <c r="A628" s="2" t="s">
        <v>737</v>
      </c>
      <c r="B628" s="2" t="s">
        <v>23</v>
      </c>
      <c r="C628" s="3" t="n">
        <v>46294.858599537</v>
      </c>
      <c r="D628" s="2" t="s">
        <v>17</v>
      </c>
      <c r="E628" s="2" t="n">
        <v>2000</v>
      </c>
      <c r="F628" s="2" t="s">
        <v>18</v>
      </c>
      <c r="G628" s="2"/>
      <c r="H628" s="2" t="str">
        <f aca="false">VLOOKUP(B628,$N$2:$S$41,3,FALSE())</f>
        <v>Model-X</v>
      </c>
      <c r="I628" s="2" t="str">
        <f aca="false">VLOOKUP(B628,$N$2:$S$41,2,FALSE())</f>
        <v>Воронеж, Кольцовская</v>
      </c>
      <c r="J628" s="2" t="n">
        <f aca="false">IF(F628="success",1,0)</f>
        <v>1</v>
      </c>
      <c r="K628" s="2" t="n">
        <f aca="false">VLOOKUP(H628,Lookup!$A$4:$B$6,2,FALSE())</f>
        <v>18</v>
      </c>
    </row>
    <row r="629" customFormat="false" ht="15" hidden="false" customHeight="false" outlineLevel="0" collapsed="false">
      <c r="A629" s="2" t="s">
        <v>738</v>
      </c>
      <c r="B629" s="2" t="s">
        <v>39</v>
      </c>
      <c r="C629" s="3" t="n">
        <v>46294.860162037</v>
      </c>
      <c r="D629" s="2" t="s">
        <v>17</v>
      </c>
      <c r="E629" s="2" t="n">
        <v>15000</v>
      </c>
      <c r="F629" s="2" t="s">
        <v>18</v>
      </c>
      <c r="G629" s="2"/>
      <c r="H629" s="2" t="str">
        <f aca="false">VLOOKUP(B629,$N$2:$S$41,3,FALSE())</f>
        <v>Model-Y</v>
      </c>
      <c r="I629" s="2" t="str">
        <f aca="false">VLOOKUP(B629,$N$2:$S$41,2,FALSE())</f>
        <v>Москва, Кутузовский пр-т</v>
      </c>
      <c r="J629" s="2" t="n">
        <f aca="false">IF(F629="success",1,0)</f>
        <v>1</v>
      </c>
      <c r="K629" s="2" t="n">
        <f aca="false">VLOOKUP(H629,Lookup!$A$4:$B$6,2,FALSE())</f>
        <v>14</v>
      </c>
    </row>
    <row r="630" customFormat="false" ht="15" hidden="false" customHeight="false" outlineLevel="0" collapsed="false">
      <c r="A630" s="2" t="s">
        <v>739</v>
      </c>
      <c r="B630" s="2" t="s">
        <v>72</v>
      </c>
      <c r="C630" s="3" t="n">
        <v>46294.9427662037</v>
      </c>
      <c r="D630" s="2" t="s">
        <v>29</v>
      </c>
      <c r="E630" s="2" t="n">
        <v>0</v>
      </c>
      <c r="F630" s="2" t="s">
        <v>18</v>
      </c>
      <c r="G630" s="2"/>
      <c r="H630" s="2" t="str">
        <f aca="false">VLOOKUP(B630,$N$2:$S$41,3,FALSE())</f>
        <v>Model-Y</v>
      </c>
      <c r="I630" s="2" t="str">
        <f aca="false">VLOOKUP(B630,$N$2:$S$41,2,FALSE())</f>
        <v>Ростов-на-Дону, Садовая</v>
      </c>
      <c r="J630" s="2" t="n">
        <f aca="false">IF(F630="success",1,0)</f>
        <v>1</v>
      </c>
      <c r="K630" s="2" t="n">
        <f aca="false">VLOOKUP(H630,Lookup!$A$4:$B$6,2,FALSE())</f>
        <v>14</v>
      </c>
    </row>
    <row r="631" customFormat="false" ht="15" hidden="false" customHeight="false" outlineLevel="0" collapsed="false">
      <c r="A631" s="2" t="s">
        <v>740</v>
      </c>
      <c r="B631" s="2" t="s">
        <v>16</v>
      </c>
      <c r="C631" s="3" t="n">
        <v>46295.2105555556</v>
      </c>
      <c r="D631" s="2" t="s">
        <v>46</v>
      </c>
      <c r="E631" s="2" t="n">
        <v>1500</v>
      </c>
      <c r="F631" s="2" t="s">
        <v>18</v>
      </c>
      <c r="G631" s="2"/>
      <c r="H631" s="2" t="str">
        <f aca="false">VLOOKUP(B631,$N$2:$S$41,3,FALSE())</f>
        <v>Model-X</v>
      </c>
      <c r="I631" s="2" t="str">
        <f aca="false">VLOOKUP(B631,$N$2:$S$41,2,FALSE())</f>
        <v>Москва, Тверская</v>
      </c>
      <c r="J631" s="2" t="n">
        <f aca="false">IF(F631="success",1,0)</f>
        <v>1</v>
      </c>
      <c r="K631" s="2" t="n">
        <f aca="false">VLOOKUP(H631,Lookup!$A$4:$B$6,2,FALSE())</f>
        <v>18</v>
      </c>
    </row>
    <row r="632" customFormat="false" ht="15" hidden="false" customHeight="false" outlineLevel="0" collapsed="false">
      <c r="A632" s="2" t="s">
        <v>741</v>
      </c>
      <c r="B632" s="2" t="s">
        <v>23</v>
      </c>
      <c r="C632" s="3" t="n">
        <v>46295.3655555556</v>
      </c>
      <c r="D632" s="2" t="s">
        <v>29</v>
      </c>
      <c r="E632" s="2" t="n">
        <v>0</v>
      </c>
      <c r="F632" s="2" t="s">
        <v>18</v>
      </c>
      <c r="G632" s="2"/>
      <c r="H632" s="2" t="str">
        <f aca="false">VLOOKUP(B632,$N$2:$S$41,3,FALSE())</f>
        <v>Model-X</v>
      </c>
      <c r="I632" s="2" t="str">
        <f aca="false">VLOOKUP(B632,$N$2:$S$41,2,FALSE())</f>
        <v>Воронеж, Кольцовская</v>
      </c>
      <c r="J632" s="2" t="n">
        <f aca="false">IF(F632="success",1,0)</f>
        <v>1</v>
      </c>
      <c r="K632" s="2" t="n">
        <f aca="false">VLOOKUP(H632,Lookup!$A$4:$B$6,2,FALSE())</f>
        <v>18</v>
      </c>
    </row>
    <row r="633" customFormat="false" ht="15" hidden="false" customHeight="false" outlineLevel="0" collapsed="false">
      <c r="A633" s="2" t="s">
        <v>742</v>
      </c>
      <c r="B633" s="2" t="s">
        <v>23</v>
      </c>
      <c r="C633" s="3" t="n">
        <v>46295.3862731482</v>
      </c>
      <c r="D633" s="2" t="s">
        <v>17</v>
      </c>
      <c r="E633" s="2" t="n">
        <v>10000</v>
      </c>
      <c r="F633" s="2" t="s">
        <v>18</v>
      </c>
      <c r="G633" s="2"/>
      <c r="H633" s="2" t="str">
        <f aca="false">VLOOKUP(B633,$N$2:$S$41,3,FALSE())</f>
        <v>Model-X</v>
      </c>
      <c r="I633" s="2" t="str">
        <f aca="false">VLOOKUP(B633,$N$2:$S$41,2,FALSE())</f>
        <v>Воронеж, Кольцовская</v>
      </c>
      <c r="J633" s="2" t="n">
        <f aca="false">IF(F633="success",1,0)</f>
        <v>1</v>
      </c>
      <c r="K633" s="2" t="n">
        <f aca="false">VLOOKUP(H633,Lookup!$A$4:$B$6,2,FALSE())</f>
        <v>18</v>
      </c>
    </row>
    <row r="634" customFormat="false" ht="15" hidden="false" customHeight="false" outlineLevel="0" collapsed="false">
      <c r="A634" s="2" t="s">
        <v>743</v>
      </c>
      <c r="B634" s="2" t="s">
        <v>81</v>
      </c>
      <c r="C634" s="3" t="n">
        <v>46295.3982407407</v>
      </c>
      <c r="D634" s="2" t="s">
        <v>65</v>
      </c>
      <c r="E634" s="2" t="n">
        <v>500</v>
      </c>
      <c r="F634" s="2" t="s">
        <v>18</v>
      </c>
      <c r="G634" s="2"/>
      <c r="H634" s="2" t="str">
        <f aca="false">VLOOKUP(B634,$N$2:$S$41,3,FALSE())</f>
        <v>Model-X</v>
      </c>
      <c r="I634" s="2" t="str">
        <f aca="false">VLOOKUP(B634,$N$2:$S$41,2,FALSE())</f>
        <v>Екатеринбург, Малышева</v>
      </c>
      <c r="J634" s="2" t="n">
        <f aca="false">IF(F634="success",1,0)</f>
        <v>1</v>
      </c>
      <c r="K634" s="2" t="n">
        <f aca="false">VLOOKUP(H634,Lookup!$A$4:$B$6,2,FALSE())</f>
        <v>18</v>
      </c>
    </row>
    <row r="635" customFormat="false" ht="15" hidden="false" customHeight="false" outlineLevel="0" collapsed="false">
      <c r="A635" s="2" t="s">
        <v>744</v>
      </c>
      <c r="B635" s="2" t="s">
        <v>30</v>
      </c>
      <c r="C635" s="3" t="n">
        <v>46295.4116666667</v>
      </c>
      <c r="D635" s="2" t="s">
        <v>17</v>
      </c>
      <c r="E635" s="2" t="n">
        <v>10000</v>
      </c>
      <c r="F635" s="2" t="s">
        <v>18</v>
      </c>
      <c r="G635" s="2"/>
      <c r="H635" s="2" t="str">
        <f aca="false">VLOOKUP(B635,$N$2:$S$41,3,FALSE())</f>
        <v>Model-Z</v>
      </c>
      <c r="I635" s="2" t="str">
        <f aca="false">VLOOKUP(B635,$N$2:$S$41,2,FALSE())</f>
        <v>Москва, Новослободская</v>
      </c>
      <c r="J635" s="2" t="n">
        <f aca="false">IF(F635="success",1,0)</f>
        <v>1</v>
      </c>
      <c r="K635" s="2" t="n">
        <f aca="false">VLOOKUP(H635,Lookup!$A$4:$B$6,2,FALSE())</f>
        <v>16</v>
      </c>
    </row>
    <row r="636" customFormat="false" ht="15" hidden="false" customHeight="false" outlineLevel="0" collapsed="false">
      <c r="A636" s="2" t="s">
        <v>745</v>
      </c>
      <c r="B636" s="2" t="s">
        <v>106</v>
      </c>
      <c r="C636" s="3" t="n">
        <v>46295.4405324074</v>
      </c>
      <c r="D636" s="2" t="s">
        <v>17</v>
      </c>
      <c r="E636" s="2" t="n">
        <v>1000</v>
      </c>
      <c r="F636" s="2" t="s">
        <v>18</v>
      </c>
      <c r="G636" s="2"/>
      <c r="H636" s="2" t="str">
        <f aca="false">VLOOKUP(B636,$N$2:$S$41,3,FALSE())</f>
        <v>Model-Z</v>
      </c>
      <c r="I636" s="2" t="str">
        <f aca="false">VLOOKUP(B636,$N$2:$S$41,2,FALSE())</f>
        <v>Нижний Новгород, Рождественская</v>
      </c>
      <c r="J636" s="2" t="n">
        <f aca="false">IF(F636="success",1,0)</f>
        <v>1</v>
      </c>
      <c r="K636" s="2" t="n">
        <f aca="false">VLOOKUP(H636,Lookup!$A$4:$B$6,2,FALSE())</f>
        <v>16</v>
      </c>
    </row>
    <row r="637" customFormat="false" ht="15" hidden="false" customHeight="false" outlineLevel="0" collapsed="false">
      <c r="A637" s="2" t="s">
        <v>746</v>
      </c>
      <c r="B637" s="2" t="s">
        <v>114</v>
      </c>
      <c r="C637" s="3" t="n">
        <v>46295.4579976852</v>
      </c>
      <c r="D637" s="2" t="s">
        <v>46</v>
      </c>
      <c r="E637" s="2" t="n">
        <v>2000</v>
      </c>
      <c r="F637" s="2" t="s">
        <v>18</v>
      </c>
      <c r="G637" s="2"/>
      <c r="H637" s="2" t="str">
        <f aca="false">VLOOKUP(B637,$N$2:$S$41,3,FALSE())</f>
        <v>Model-Z</v>
      </c>
      <c r="I637" s="2" t="str">
        <f aca="false">VLOOKUP(B637,$N$2:$S$41,2,FALSE())</f>
        <v>Самара, Куйбышева</v>
      </c>
      <c r="J637" s="2" t="n">
        <f aca="false">IF(F637="success",1,0)</f>
        <v>1</v>
      </c>
      <c r="K637" s="2" t="n">
        <f aca="false">VLOOKUP(H637,Lookup!$A$4:$B$6,2,FALSE())</f>
        <v>16</v>
      </c>
    </row>
    <row r="638" customFormat="false" ht="15" hidden="false" customHeight="false" outlineLevel="0" collapsed="false">
      <c r="A638" s="2" t="s">
        <v>747</v>
      </c>
      <c r="B638" s="2" t="s">
        <v>103</v>
      </c>
      <c r="C638" s="3" t="n">
        <v>46295.4666550926</v>
      </c>
      <c r="D638" s="2" t="s">
        <v>46</v>
      </c>
      <c r="E638" s="2" t="n">
        <v>2000</v>
      </c>
      <c r="F638" s="2" t="s">
        <v>18</v>
      </c>
      <c r="G638" s="2"/>
      <c r="H638" s="2" t="str">
        <f aca="false">VLOOKUP(B638,$N$2:$S$41,3,FALSE())</f>
        <v>Model-Y</v>
      </c>
      <c r="I638" s="2" t="str">
        <f aca="false">VLOOKUP(B638,$N$2:$S$41,2,FALSE())</f>
        <v>Нижний Новгород, Большая Покровская</v>
      </c>
      <c r="J638" s="2" t="n">
        <f aca="false">IF(F638="success",1,0)</f>
        <v>1</v>
      </c>
      <c r="K638" s="2" t="n">
        <f aca="false">VLOOKUP(H638,Lookup!$A$4:$B$6,2,FALSE())</f>
        <v>14</v>
      </c>
    </row>
    <row r="639" customFormat="false" ht="15" hidden="false" customHeight="false" outlineLevel="0" collapsed="false">
      <c r="A639" s="2" t="s">
        <v>748</v>
      </c>
      <c r="B639" s="2" t="s">
        <v>35</v>
      </c>
      <c r="C639" s="3" t="n">
        <v>46295.4789351852</v>
      </c>
      <c r="D639" s="2" t="s">
        <v>46</v>
      </c>
      <c r="E639" s="2" t="n">
        <v>15000</v>
      </c>
      <c r="F639" s="2" t="s">
        <v>18</v>
      </c>
      <c r="G639" s="2"/>
      <c r="H639" s="2" t="str">
        <f aca="false">VLOOKUP(B639,$N$2:$S$41,3,FALSE())</f>
        <v>Model-X</v>
      </c>
      <c r="I639" s="2" t="str">
        <f aca="false">VLOOKUP(B639,$N$2:$S$41,2,FALSE())</f>
        <v>Москва, Ленинградский пр-т</v>
      </c>
      <c r="J639" s="2" t="n">
        <f aca="false">IF(F639="success",1,0)</f>
        <v>1</v>
      </c>
      <c r="K639" s="2" t="n">
        <f aca="false">VLOOKUP(H639,Lookup!$A$4:$B$6,2,FALSE())</f>
        <v>18</v>
      </c>
    </row>
    <row r="640" customFormat="false" ht="15" hidden="false" customHeight="false" outlineLevel="0" collapsed="false">
      <c r="A640" s="2" t="s">
        <v>749</v>
      </c>
      <c r="B640" s="2" t="s">
        <v>125</v>
      </c>
      <c r="C640" s="3" t="n">
        <v>46295.479837963</v>
      </c>
      <c r="D640" s="2" t="s">
        <v>29</v>
      </c>
      <c r="E640" s="2" t="n">
        <v>0</v>
      </c>
      <c r="F640" s="2" t="s">
        <v>18</v>
      </c>
      <c r="G640" s="2"/>
      <c r="H640" s="2" t="str">
        <f aca="false">VLOOKUP(B640,$N$2:$S$41,3,FALSE())</f>
        <v>Model-X</v>
      </c>
      <c r="I640" s="2" t="str">
        <f aca="false">VLOOKUP(B640,$N$2:$S$41,2,FALSE())</f>
        <v>Ростов-на-Дону, Пушкинская</v>
      </c>
      <c r="J640" s="2" t="n">
        <f aca="false">IF(F640="success",1,0)</f>
        <v>1</v>
      </c>
      <c r="K640" s="2" t="n">
        <f aca="false">VLOOKUP(H640,Lookup!$A$4:$B$6,2,FALSE())</f>
        <v>18</v>
      </c>
    </row>
    <row r="641" customFormat="false" ht="15" hidden="false" customHeight="false" outlineLevel="0" collapsed="false">
      <c r="A641" s="2" t="s">
        <v>750</v>
      </c>
      <c r="B641" s="2" t="s">
        <v>34</v>
      </c>
      <c r="C641" s="3" t="n">
        <v>46295.513599537</v>
      </c>
      <c r="D641" s="2" t="s">
        <v>29</v>
      </c>
      <c r="E641" s="2" t="n">
        <v>0</v>
      </c>
      <c r="F641" s="2" t="s">
        <v>18</v>
      </c>
      <c r="G641" s="2"/>
      <c r="H641" s="2" t="str">
        <f aca="false">VLOOKUP(B641,$N$2:$S$41,3,FALSE())</f>
        <v>Model-X</v>
      </c>
      <c r="I641" s="2" t="str">
        <f aca="false">VLOOKUP(B641,$N$2:$S$41,2,FALSE())</f>
        <v>Москва, Профсоюзная</v>
      </c>
      <c r="J641" s="2" t="n">
        <f aca="false">IF(F641="success",1,0)</f>
        <v>1</v>
      </c>
      <c r="K641" s="2" t="n">
        <f aca="false">VLOOKUP(H641,Lookup!$A$4:$B$6,2,FALSE())</f>
        <v>18</v>
      </c>
    </row>
    <row r="642" customFormat="false" ht="15" hidden="false" customHeight="false" outlineLevel="0" collapsed="false">
      <c r="A642" s="2" t="s">
        <v>751</v>
      </c>
      <c r="B642" s="2" t="s">
        <v>97</v>
      </c>
      <c r="C642" s="3" t="n">
        <v>46295.5270833333</v>
      </c>
      <c r="D642" s="2" t="s">
        <v>17</v>
      </c>
      <c r="E642" s="2" t="n">
        <v>10000</v>
      </c>
      <c r="F642" s="2" t="s">
        <v>76</v>
      </c>
      <c r="G642" s="2" t="s">
        <v>160</v>
      </c>
      <c r="H642" s="2" t="str">
        <f aca="false">VLOOKUP(B642,$N$2:$S$41,3,FALSE())</f>
        <v>Model-X</v>
      </c>
      <c r="I642" s="2" t="str">
        <f aca="false">VLOOKUP(B642,$N$2:$S$41,2,FALSE())</f>
        <v>Новосибирск, Гоголя</v>
      </c>
      <c r="J642" s="2" t="n">
        <f aca="false">IF(F642="success",1,0)</f>
        <v>0</v>
      </c>
      <c r="K642" s="2" t="n">
        <f aca="false">VLOOKUP(H642,Lookup!$A$4:$B$6,2,FALSE())</f>
        <v>18</v>
      </c>
    </row>
    <row r="643" customFormat="false" ht="15" hidden="false" customHeight="false" outlineLevel="0" collapsed="false">
      <c r="A643" s="2" t="s">
        <v>752</v>
      </c>
      <c r="B643" s="2" t="s">
        <v>59</v>
      </c>
      <c r="C643" s="3" t="n">
        <v>46295.5550115741</v>
      </c>
      <c r="D643" s="2" t="s">
        <v>17</v>
      </c>
      <c r="E643" s="2" t="n">
        <v>3000</v>
      </c>
      <c r="F643" s="2" t="s">
        <v>18</v>
      </c>
      <c r="G643" s="2"/>
      <c r="H643" s="2" t="str">
        <f aca="false">VLOOKUP(B643,$N$2:$S$41,3,FALSE())</f>
        <v>Model-X</v>
      </c>
      <c r="I643" s="2" t="str">
        <f aca="false">VLOOKUP(B643,$N$2:$S$41,2,FALSE())</f>
        <v>Санкт-Петербург, Большой пр-т</v>
      </c>
      <c r="J643" s="2" t="n">
        <f aca="false">IF(F643="success",1,0)</f>
        <v>1</v>
      </c>
      <c r="K643" s="2" t="n">
        <f aca="false">VLOOKUP(H643,Lookup!$A$4:$B$6,2,FALSE())</f>
        <v>18</v>
      </c>
    </row>
    <row r="644" customFormat="false" ht="15" hidden="false" customHeight="false" outlineLevel="0" collapsed="false">
      <c r="A644" s="2" t="s">
        <v>753</v>
      </c>
      <c r="B644" s="2" t="s">
        <v>78</v>
      </c>
      <c r="C644" s="3" t="n">
        <v>46295.6375810185</v>
      </c>
      <c r="D644" s="2" t="s">
        <v>65</v>
      </c>
      <c r="E644" s="2" t="n">
        <v>1000</v>
      </c>
      <c r="F644" s="2" t="s">
        <v>100</v>
      </c>
      <c r="G644" s="2"/>
      <c r="H644" s="2" t="str">
        <f aca="false">VLOOKUP(B644,$N$2:$S$41,3,FALSE())</f>
        <v>Model-Z</v>
      </c>
      <c r="I644" s="2" t="str">
        <f aca="false">VLOOKUP(B644,$N$2:$S$41,2,FALSE())</f>
        <v>Екатеринбург, Ленина</v>
      </c>
      <c r="J644" s="2" t="n">
        <f aca="false">IF(F644="success",1,0)</f>
        <v>0</v>
      </c>
      <c r="K644" s="2" t="n">
        <f aca="false">VLOOKUP(H644,Lookup!$A$4:$B$6,2,FALSE())</f>
        <v>16</v>
      </c>
    </row>
    <row r="645" customFormat="false" ht="15" hidden="false" customHeight="false" outlineLevel="0" collapsed="false">
      <c r="A645" s="2" t="s">
        <v>754</v>
      </c>
      <c r="B645" s="2" t="s">
        <v>59</v>
      </c>
      <c r="C645" s="3" t="n">
        <v>46295.6507291667</v>
      </c>
      <c r="D645" s="2" t="s">
        <v>29</v>
      </c>
      <c r="E645" s="2" t="n">
        <v>0</v>
      </c>
      <c r="F645" s="2" t="s">
        <v>18</v>
      </c>
      <c r="G645" s="2"/>
      <c r="H645" s="2" t="str">
        <f aca="false">VLOOKUP(B645,$N$2:$S$41,3,FALSE())</f>
        <v>Model-X</v>
      </c>
      <c r="I645" s="2" t="str">
        <f aca="false">VLOOKUP(B645,$N$2:$S$41,2,FALSE())</f>
        <v>Санкт-Петербург, Большой пр-т</v>
      </c>
      <c r="J645" s="2" t="n">
        <f aca="false">IF(F645="success",1,0)</f>
        <v>1</v>
      </c>
      <c r="K645" s="2" t="n">
        <f aca="false">VLOOKUP(H645,Lookup!$A$4:$B$6,2,FALSE())</f>
        <v>18</v>
      </c>
    </row>
    <row r="646" customFormat="false" ht="15" hidden="false" customHeight="false" outlineLevel="0" collapsed="false">
      <c r="A646" s="2" t="s">
        <v>755</v>
      </c>
      <c r="B646" s="2" t="s">
        <v>78</v>
      </c>
      <c r="C646" s="3" t="n">
        <v>46295.6926041667</v>
      </c>
      <c r="D646" s="2" t="s">
        <v>46</v>
      </c>
      <c r="E646" s="2" t="n">
        <v>7000</v>
      </c>
      <c r="F646" s="2" t="s">
        <v>18</v>
      </c>
      <c r="G646" s="2"/>
      <c r="H646" s="2" t="str">
        <f aca="false">VLOOKUP(B646,$N$2:$S$41,3,FALSE())</f>
        <v>Model-Z</v>
      </c>
      <c r="I646" s="2" t="str">
        <f aca="false">VLOOKUP(B646,$N$2:$S$41,2,FALSE())</f>
        <v>Екатеринбург, Ленина</v>
      </c>
      <c r="J646" s="2" t="n">
        <f aca="false">IF(F646="success",1,0)</f>
        <v>1</v>
      </c>
      <c r="K646" s="2" t="n">
        <f aca="false">VLOOKUP(H646,Lookup!$A$4:$B$6,2,FALSE())</f>
        <v>16</v>
      </c>
    </row>
    <row r="647" customFormat="false" ht="15" hidden="false" customHeight="false" outlineLevel="0" collapsed="false">
      <c r="A647" s="2" t="s">
        <v>756</v>
      </c>
      <c r="B647" s="2" t="s">
        <v>81</v>
      </c>
      <c r="C647" s="3" t="n">
        <v>46295.7211689815</v>
      </c>
      <c r="D647" s="2" t="s">
        <v>17</v>
      </c>
      <c r="E647" s="2" t="n">
        <v>10000</v>
      </c>
      <c r="F647" s="2" t="s">
        <v>100</v>
      </c>
      <c r="G647" s="2"/>
      <c r="H647" s="2" t="str">
        <f aca="false">VLOOKUP(B647,$N$2:$S$41,3,FALSE())</f>
        <v>Model-X</v>
      </c>
      <c r="I647" s="2" t="str">
        <f aca="false">VLOOKUP(B647,$N$2:$S$41,2,FALSE())</f>
        <v>Екатеринбург, Малышева</v>
      </c>
      <c r="J647" s="2" t="n">
        <f aca="false">IF(F647="success",1,0)</f>
        <v>0</v>
      </c>
      <c r="K647" s="2" t="n">
        <f aca="false">VLOOKUP(H647,Lookup!$A$4:$B$6,2,FALSE())</f>
        <v>18</v>
      </c>
    </row>
    <row r="648" customFormat="false" ht="15" hidden="false" customHeight="false" outlineLevel="0" collapsed="false">
      <c r="A648" s="2" t="s">
        <v>757</v>
      </c>
      <c r="B648" s="2" t="s">
        <v>69</v>
      </c>
      <c r="C648" s="3" t="n">
        <v>46295.7562037037</v>
      </c>
      <c r="D648" s="2" t="s">
        <v>29</v>
      </c>
      <c r="E648" s="2" t="n">
        <v>0</v>
      </c>
      <c r="F648" s="2" t="s">
        <v>18</v>
      </c>
      <c r="G648" s="2"/>
      <c r="H648" s="2" t="str">
        <f aca="false">VLOOKUP(B648,$N$2:$S$41,3,FALSE())</f>
        <v>Model-X</v>
      </c>
      <c r="I648" s="2" t="str">
        <f aca="false">VLOOKUP(B648,$N$2:$S$41,2,FALSE())</f>
        <v>Казань, Пушкина</v>
      </c>
      <c r="J648" s="2" t="n">
        <f aca="false">IF(F648="success",1,0)</f>
        <v>1</v>
      </c>
      <c r="K648" s="2" t="n">
        <f aca="false">VLOOKUP(H648,Lookup!$A$4:$B$6,2,FALSE())</f>
        <v>18</v>
      </c>
    </row>
    <row r="649" customFormat="false" ht="15" hidden="false" customHeight="false" outlineLevel="0" collapsed="false">
      <c r="A649" s="2" t="s">
        <v>758</v>
      </c>
      <c r="B649" s="2" t="s">
        <v>58</v>
      </c>
      <c r="C649" s="3" t="n">
        <v>46295.7837615741</v>
      </c>
      <c r="D649" s="2" t="s">
        <v>29</v>
      </c>
      <c r="E649" s="2" t="n">
        <v>0</v>
      </c>
      <c r="F649" s="2" t="s">
        <v>76</v>
      </c>
      <c r="G649" s="2" t="s">
        <v>117</v>
      </c>
      <c r="H649" s="2" t="str">
        <f aca="false">VLOOKUP(B649,$N$2:$S$41,3,FALSE())</f>
        <v>Model-Y</v>
      </c>
      <c r="I649" s="2" t="str">
        <f aca="false">VLOOKUP(B649,$N$2:$S$41,2,FALSE())</f>
        <v>Краснодар, Красная</v>
      </c>
      <c r="J649" s="2" t="n">
        <f aca="false">IF(F649="success",1,0)</f>
        <v>0</v>
      </c>
      <c r="K649" s="2" t="n">
        <f aca="false">VLOOKUP(H649,Lookup!$A$4:$B$6,2,FALSE())</f>
        <v>14</v>
      </c>
    </row>
    <row r="650" customFormat="false" ht="15" hidden="false" customHeight="false" outlineLevel="0" collapsed="false">
      <c r="A650" s="2" t="s">
        <v>759</v>
      </c>
      <c r="B650" s="2" t="s">
        <v>45</v>
      </c>
      <c r="C650" s="3" t="n">
        <v>46295.8184722222</v>
      </c>
      <c r="D650" s="2" t="s">
        <v>46</v>
      </c>
      <c r="E650" s="2" t="n">
        <v>7000</v>
      </c>
      <c r="F650" s="2" t="s">
        <v>18</v>
      </c>
      <c r="G650" s="2"/>
      <c r="H650" s="2" t="str">
        <f aca="false">VLOOKUP(B650,$N$2:$S$41,3,FALSE())</f>
        <v>Model-Y</v>
      </c>
      <c r="I650" s="2" t="str">
        <f aca="false">VLOOKUP(B650,$N$2:$S$41,2,FALSE())</f>
        <v>Воронеж, Плехановская</v>
      </c>
      <c r="J650" s="2" t="n">
        <f aca="false">IF(F650="success",1,0)</f>
        <v>1</v>
      </c>
      <c r="K650" s="2" t="n">
        <f aca="false">VLOOKUP(H650,Lookup!$A$4:$B$6,2,FALSE())</f>
        <v>14</v>
      </c>
    </row>
    <row r="651" customFormat="false" ht="15" hidden="false" customHeight="false" outlineLevel="0" collapsed="false">
      <c r="A651" s="2" t="s">
        <v>760</v>
      </c>
      <c r="B651" s="2" t="s">
        <v>23</v>
      </c>
      <c r="C651" s="3" t="n">
        <v>46295.825150463</v>
      </c>
      <c r="D651" s="2" t="s">
        <v>17</v>
      </c>
      <c r="E651" s="2" t="n">
        <v>1000</v>
      </c>
      <c r="F651" s="2" t="s">
        <v>18</v>
      </c>
      <c r="G651" s="2"/>
      <c r="H651" s="2" t="str">
        <f aca="false">VLOOKUP(B651,$N$2:$S$41,3,FALSE())</f>
        <v>Model-X</v>
      </c>
      <c r="I651" s="2" t="str">
        <f aca="false">VLOOKUP(B651,$N$2:$S$41,2,FALSE())</f>
        <v>Воронеж, Кольцовская</v>
      </c>
      <c r="J651" s="2" t="n">
        <f aca="false">IF(F651="success",1,0)</f>
        <v>1</v>
      </c>
      <c r="K651" s="2" t="n">
        <f aca="false">VLOOKUP(H651,Lookup!$A$4:$B$6,2,FALSE())</f>
        <v>18</v>
      </c>
    </row>
    <row r="652" customFormat="false" ht="15" hidden="false" customHeight="false" outlineLevel="0" collapsed="false">
      <c r="A652" s="2" t="s">
        <v>761</v>
      </c>
      <c r="B652" s="2" t="s">
        <v>93</v>
      </c>
      <c r="C652" s="3" t="n">
        <v>46295.8252430556</v>
      </c>
      <c r="D652" s="2" t="s">
        <v>17</v>
      </c>
      <c r="E652" s="2" t="n">
        <v>500</v>
      </c>
      <c r="F652" s="2" t="s">
        <v>18</v>
      </c>
      <c r="G652" s="2"/>
      <c r="H652" s="2" t="str">
        <f aca="false">VLOOKUP(B652,$N$2:$S$41,3,FALSE())</f>
        <v>Model-Y</v>
      </c>
      <c r="I652" s="2" t="str">
        <f aca="false">VLOOKUP(B652,$N$2:$S$41,2,FALSE())</f>
        <v>Новосибирск, Ленина</v>
      </c>
      <c r="J652" s="2" t="n">
        <f aca="false">IF(F652="success",1,0)</f>
        <v>1</v>
      </c>
      <c r="K652" s="2" t="n">
        <f aca="false">VLOOKUP(H652,Lookup!$A$4:$B$6,2,FALSE())</f>
        <v>14</v>
      </c>
    </row>
    <row r="653" customFormat="false" ht="15" hidden="false" customHeight="false" outlineLevel="0" collapsed="false">
      <c r="A653" s="2" t="s">
        <v>762</v>
      </c>
      <c r="B653" s="2" t="s">
        <v>88</v>
      </c>
      <c r="C653" s="3" t="n">
        <v>46295.8321180556</v>
      </c>
      <c r="D653" s="2" t="s">
        <v>17</v>
      </c>
      <c r="E653" s="2" t="n">
        <v>500</v>
      </c>
      <c r="F653" s="2" t="s">
        <v>18</v>
      </c>
      <c r="G653" s="2"/>
      <c r="H653" s="2" t="str">
        <f aca="false">VLOOKUP(B653,$N$2:$S$41,3,FALSE())</f>
        <v>Model-Z</v>
      </c>
      <c r="I653" s="2" t="str">
        <f aca="false">VLOOKUP(B653,$N$2:$S$41,2,FALSE())</f>
        <v>Екатеринбург, Вайнера</v>
      </c>
      <c r="J653" s="2" t="n">
        <f aca="false">IF(F653="success",1,0)</f>
        <v>1</v>
      </c>
      <c r="K653" s="2" t="n">
        <f aca="false">VLOOKUP(H653,Lookup!$A$4:$B$6,2,FALSE())</f>
        <v>16</v>
      </c>
    </row>
    <row r="654" customFormat="false" ht="15" hidden="false" customHeight="false" outlineLevel="0" collapsed="false">
      <c r="A654" s="2" t="s">
        <v>763</v>
      </c>
      <c r="B654" s="2" t="s">
        <v>88</v>
      </c>
      <c r="C654" s="3" t="n">
        <v>46295.8705439815</v>
      </c>
      <c r="D654" s="2" t="s">
        <v>17</v>
      </c>
      <c r="E654" s="2" t="n">
        <v>15000</v>
      </c>
      <c r="F654" s="2" t="s">
        <v>18</v>
      </c>
      <c r="G654" s="2"/>
      <c r="H654" s="2" t="str">
        <f aca="false">VLOOKUP(B654,$N$2:$S$41,3,FALSE())</f>
        <v>Model-Z</v>
      </c>
      <c r="I654" s="2" t="str">
        <f aca="false">VLOOKUP(B654,$N$2:$S$41,2,FALSE())</f>
        <v>Екатеринбург, Вайнера</v>
      </c>
      <c r="J654" s="2" t="n">
        <f aca="false">IF(F654="success",1,0)</f>
        <v>1</v>
      </c>
      <c r="K654" s="2" t="n">
        <f aca="false">VLOOKUP(H654,Lookup!$A$4:$B$6,2,FALSE())</f>
        <v>16</v>
      </c>
    </row>
    <row r="655" customFormat="false" ht="15" hidden="false" customHeight="false" outlineLevel="0" collapsed="false">
      <c r="A655" s="2" t="s">
        <v>764</v>
      </c>
      <c r="B655" s="2" t="s">
        <v>62</v>
      </c>
      <c r="C655" s="3" t="n">
        <v>46295.8851157407</v>
      </c>
      <c r="D655" s="2" t="s">
        <v>17</v>
      </c>
      <c r="E655" s="2" t="n">
        <v>1500</v>
      </c>
      <c r="F655" s="2" t="s">
        <v>76</v>
      </c>
      <c r="G655" s="2" t="s">
        <v>160</v>
      </c>
      <c r="H655" s="2" t="str">
        <f aca="false">VLOOKUP(B655,$N$2:$S$41,3,FALSE())</f>
        <v>Model-X</v>
      </c>
      <c r="I655" s="2" t="str">
        <f aca="false">VLOOKUP(B655,$N$2:$S$41,2,FALSE())</f>
        <v>Казань, Баумана</v>
      </c>
      <c r="J655" s="2" t="n">
        <f aca="false">IF(F655="success",1,0)</f>
        <v>0</v>
      </c>
      <c r="K655" s="2" t="n">
        <f aca="false">VLOOKUP(H655,Lookup!$A$4:$B$6,2,FALSE())</f>
        <v>18</v>
      </c>
    </row>
    <row r="656" customFormat="false" ht="15" hidden="false" customHeight="false" outlineLevel="0" collapsed="false">
      <c r="A656" s="2" t="s">
        <v>765</v>
      </c>
      <c r="B656" s="2" t="s">
        <v>125</v>
      </c>
      <c r="C656" s="3" t="n">
        <v>46295.9363425926</v>
      </c>
      <c r="D656" s="2" t="s">
        <v>29</v>
      </c>
      <c r="E656" s="2" t="n">
        <v>0</v>
      </c>
      <c r="F656" s="2" t="s">
        <v>18</v>
      </c>
      <c r="G656" s="2"/>
      <c r="H656" s="2" t="str">
        <f aca="false">VLOOKUP(B656,$N$2:$S$41,3,FALSE())</f>
        <v>Model-X</v>
      </c>
      <c r="I656" s="2" t="str">
        <f aca="false">VLOOKUP(B656,$N$2:$S$41,2,FALSE())</f>
        <v>Ростов-на-Дону, Пушкинская</v>
      </c>
      <c r="J656" s="2" t="n">
        <f aca="false">IF(F656="success",1,0)</f>
        <v>1</v>
      </c>
      <c r="K656" s="2" t="n">
        <f aca="false">VLOOKUP(H656,Lookup!$A$4:$B$6,2,FALSE())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6" min="5" style="0" width="13"/>
  </cols>
  <sheetData>
    <row r="1" customFormat="false" ht="15" hidden="false" customHeight="false" outlineLevel="0" collapsed="false">
      <c r="A1" s="5" t="s">
        <v>766</v>
      </c>
    </row>
    <row r="2" customFormat="false" ht="37.5" hidden="false" customHeight="true" outlineLevel="0" collapsed="false">
      <c r="A2" s="6" t="s">
        <v>767</v>
      </c>
      <c r="B2" s="6"/>
      <c r="C2" s="6"/>
      <c r="D2" s="6"/>
      <c r="E2" s="6"/>
      <c r="F2" s="6"/>
      <c r="G2" s="6"/>
    </row>
    <row r="4" customFormat="false" ht="26.85" hidden="false" customHeight="false" outlineLevel="0" collapsed="false">
      <c r="A4" s="1" t="s">
        <v>12</v>
      </c>
      <c r="B4" s="1" t="s">
        <v>11</v>
      </c>
      <c r="C4" s="1" t="s">
        <v>768</v>
      </c>
      <c r="D4" s="1" t="s">
        <v>769</v>
      </c>
      <c r="E4" s="1" t="s">
        <v>770</v>
      </c>
      <c r="F4" s="1" t="s">
        <v>771</v>
      </c>
    </row>
    <row r="5" customFormat="false" ht="15" hidden="false" customHeight="false" outlineLevel="0" collapsed="false">
      <c r="A5" s="2" t="s">
        <v>20</v>
      </c>
      <c r="B5" s="2" t="s">
        <v>137</v>
      </c>
      <c r="C5" s="2" t="n">
        <f aca="false">COUNTIFS(Raw!$H$2:$H$656,A5,Raw!$I$2:$I$656,B5)</f>
        <v>17</v>
      </c>
      <c r="D5" s="7" t="n">
        <f aca="false">SUMIFS(Raw!$E$2:$E$656,Raw!$H$2:$H$656,A5,Raw!$I$2:$I$656,B5)</f>
        <v>98500</v>
      </c>
      <c r="E5" s="2" t="n">
        <f aca="false">SUMIFS(Raw!$J$2:$J$656,Raw!$H$2:$H$656,A5,Raw!$I$2:$I$656,B5)</f>
        <v>16</v>
      </c>
      <c r="F5" s="8" t="n">
        <f aca="false">IF(C5=0,"—",E5/C5)</f>
        <v>0.941176470588235</v>
      </c>
    </row>
    <row r="6" customFormat="false" ht="15" hidden="false" customHeight="false" outlineLevel="0" collapsed="false">
      <c r="A6" s="2" t="s">
        <v>20</v>
      </c>
      <c r="B6" s="2" t="s">
        <v>140</v>
      </c>
      <c r="C6" s="2" t="n">
        <f aca="false">COUNTIFS(Raw!$H$2:$H$656,A6,Raw!$I$2:$I$656,B6)</f>
        <v>19</v>
      </c>
      <c r="D6" s="7" t="n">
        <f aca="false">SUMIFS(Raw!$E$2:$E$656,Raw!$H$2:$H$656,A6,Raw!$I$2:$I$656,B6)</f>
        <v>72000</v>
      </c>
      <c r="E6" s="2" t="n">
        <f aca="false">SUMIFS(Raw!$J$2:$J$656,Raw!$H$2:$H$656,A6,Raw!$I$2:$I$656,B6)</f>
        <v>17</v>
      </c>
      <c r="F6" s="8" t="n">
        <f aca="false">IF(C6=0,"—",E6/C6)</f>
        <v>0.894736842105263</v>
      </c>
    </row>
    <row r="7" customFormat="false" ht="15" hidden="false" customHeight="false" outlineLevel="0" collapsed="false">
      <c r="A7" s="2" t="s">
        <v>20</v>
      </c>
      <c r="B7" s="2" t="s">
        <v>82</v>
      </c>
      <c r="C7" s="2" t="n">
        <f aca="false">COUNTIFS(Raw!$H$2:$H$656,A7,Raw!$I$2:$I$656,B7)</f>
        <v>20</v>
      </c>
      <c r="D7" s="7" t="n">
        <f aca="false">SUMIFS(Raw!$E$2:$E$656,Raw!$H$2:$H$656,A7,Raw!$I$2:$I$656,B7)</f>
        <v>103500</v>
      </c>
      <c r="E7" s="2" t="n">
        <f aca="false">SUMIFS(Raw!$J$2:$J$656,Raw!$H$2:$H$656,A7,Raw!$I$2:$I$656,B7)</f>
        <v>15</v>
      </c>
      <c r="F7" s="8" t="n">
        <f aca="false">IF(C7=0,"—",E7/C7)</f>
        <v>0.75</v>
      </c>
    </row>
    <row r="8" customFormat="false" ht="15" hidden="false" customHeight="false" outlineLevel="0" collapsed="false">
      <c r="A8" s="2" t="s">
        <v>20</v>
      </c>
      <c r="B8" s="2" t="s">
        <v>63</v>
      </c>
      <c r="C8" s="2" t="n">
        <f aca="false">COUNTIFS(Raw!$H$2:$H$656,A8,Raw!$I$2:$I$656,B8)</f>
        <v>18</v>
      </c>
      <c r="D8" s="7" t="n">
        <f aca="false">SUMIFS(Raw!$E$2:$E$656,Raw!$H$2:$H$656,A8,Raw!$I$2:$I$656,B8)</f>
        <v>60500</v>
      </c>
      <c r="E8" s="2" t="n">
        <f aca="false">SUMIFS(Raw!$J$2:$J$656,Raw!$H$2:$H$656,A8,Raw!$I$2:$I$656,B8)</f>
        <v>14</v>
      </c>
      <c r="F8" s="8" t="n">
        <f aca="false">IF(C8=0,"—",E8/C8)</f>
        <v>0.777777777777778</v>
      </c>
    </row>
    <row r="9" customFormat="false" ht="15" hidden="false" customHeight="false" outlineLevel="0" collapsed="false">
      <c r="A9" s="2" t="s">
        <v>20</v>
      </c>
      <c r="B9" s="2" t="s">
        <v>70</v>
      </c>
      <c r="C9" s="2" t="n">
        <f aca="false">COUNTIFS(Raw!$H$2:$H$656,A9,Raw!$I$2:$I$656,B9)</f>
        <v>19</v>
      </c>
      <c r="D9" s="7" t="n">
        <f aca="false">SUMIFS(Raw!$E$2:$E$656,Raw!$H$2:$H$656,A9,Raw!$I$2:$I$656,B9)</f>
        <v>44500</v>
      </c>
      <c r="E9" s="2" t="n">
        <f aca="false">SUMIFS(Raw!$J$2:$J$656,Raw!$H$2:$H$656,A9,Raw!$I$2:$I$656,B9)</f>
        <v>18</v>
      </c>
      <c r="F9" s="8" t="n">
        <f aca="false">IF(C9=0,"—",E9/C9)</f>
        <v>0.947368421052632</v>
      </c>
    </row>
    <row r="10" customFormat="false" ht="15" hidden="false" customHeight="false" outlineLevel="0" collapsed="false">
      <c r="A10" s="2" t="s">
        <v>20</v>
      </c>
      <c r="B10" s="2" t="s">
        <v>133</v>
      </c>
      <c r="C10" s="2" t="n">
        <f aca="false">COUNTIFS(Raw!$H$2:$H$656,A10,Raw!$I$2:$I$656,B10)</f>
        <v>19</v>
      </c>
      <c r="D10" s="7" t="n">
        <f aca="false">SUMIFS(Raw!$E$2:$E$656,Raw!$H$2:$H$656,A10,Raw!$I$2:$I$656,B10)</f>
        <v>109000</v>
      </c>
      <c r="E10" s="2" t="n">
        <f aca="false">SUMIFS(Raw!$J$2:$J$656,Raw!$H$2:$H$656,A10,Raw!$I$2:$I$656,B10)</f>
        <v>17</v>
      </c>
      <c r="F10" s="8" t="n">
        <f aca="false">IF(C10=0,"—",E10/C10)</f>
        <v>0.894736842105263</v>
      </c>
    </row>
    <row r="11" customFormat="false" ht="15" hidden="false" customHeight="false" outlineLevel="0" collapsed="false">
      <c r="A11" s="2" t="s">
        <v>20</v>
      </c>
      <c r="B11" s="2" t="s">
        <v>36</v>
      </c>
      <c r="C11" s="2" t="n">
        <f aca="false">COUNTIFS(Raw!$H$2:$H$656,A11,Raw!$I$2:$I$656,B11)</f>
        <v>24</v>
      </c>
      <c r="D11" s="7" t="n">
        <f aca="false">SUMIFS(Raw!$E$2:$E$656,Raw!$H$2:$H$656,A11,Raw!$I$2:$I$656,B11)</f>
        <v>92000</v>
      </c>
      <c r="E11" s="2" t="n">
        <f aca="false">SUMIFS(Raw!$J$2:$J$656,Raw!$H$2:$H$656,A11,Raw!$I$2:$I$656,B11)</f>
        <v>20</v>
      </c>
      <c r="F11" s="8" t="n">
        <f aca="false">IF(C11=0,"—",E11/C11)</f>
        <v>0.833333333333333</v>
      </c>
    </row>
    <row r="12" customFormat="false" ht="15" hidden="false" customHeight="false" outlineLevel="0" collapsed="false">
      <c r="A12" s="2" t="s">
        <v>20</v>
      </c>
      <c r="B12" s="2" t="s">
        <v>43</v>
      </c>
      <c r="C12" s="2" t="n">
        <f aca="false">COUNTIFS(Raw!$H$2:$H$656,A12,Raw!$I$2:$I$656,B12)</f>
        <v>19</v>
      </c>
      <c r="D12" s="7" t="n">
        <f aca="false">SUMIFS(Raw!$E$2:$E$656,Raw!$H$2:$H$656,A12,Raw!$I$2:$I$656,B12)</f>
        <v>77500</v>
      </c>
      <c r="E12" s="2" t="n">
        <f aca="false">SUMIFS(Raw!$J$2:$J$656,Raw!$H$2:$H$656,A12,Raw!$I$2:$I$656,B12)</f>
        <v>17</v>
      </c>
      <c r="F12" s="8" t="n">
        <f aca="false">IF(C12=0,"—",E12/C12)</f>
        <v>0.894736842105263</v>
      </c>
    </row>
    <row r="13" customFormat="false" ht="15" hidden="false" customHeight="false" outlineLevel="0" collapsed="false">
      <c r="A13" s="2" t="s">
        <v>20</v>
      </c>
      <c r="B13" s="2" t="s">
        <v>19</v>
      </c>
      <c r="C13" s="2" t="n">
        <f aca="false">COUNTIFS(Raw!$H$2:$H$656,A13,Raw!$I$2:$I$656,B13)</f>
        <v>25</v>
      </c>
      <c r="D13" s="7" t="n">
        <f aca="false">SUMIFS(Raw!$E$2:$E$656,Raw!$H$2:$H$656,A13,Raw!$I$2:$I$656,B13)</f>
        <v>146500</v>
      </c>
      <c r="E13" s="2" t="n">
        <f aca="false">SUMIFS(Raw!$J$2:$J$656,Raw!$H$2:$H$656,A13,Raw!$I$2:$I$656,B13)</f>
        <v>21</v>
      </c>
      <c r="F13" s="8" t="n">
        <f aca="false">IF(C13=0,"—",E13/C13)</f>
        <v>0.84</v>
      </c>
    </row>
    <row r="14" customFormat="false" ht="15" hidden="false" customHeight="false" outlineLevel="0" collapsed="false">
      <c r="A14" s="2" t="s">
        <v>20</v>
      </c>
      <c r="B14" s="2" t="s">
        <v>109</v>
      </c>
      <c r="C14" s="2" t="n">
        <f aca="false">COUNTIFS(Raw!$H$2:$H$656,A14,Raw!$I$2:$I$656,B14)</f>
        <v>12</v>
      </c>
      <c r="D14" s="7" t="n">
        <f aca="false">SUMIFS(Raw!$E$2:$E$656,Raw!$H$2:$H$656,A14,Raw!$I$2:$I$656,B14)</f>
        <v>38500</v>
      </c>
      <c r="E14" s="2" t="n">
        <f aca="false">SUMIFS(Raw!$J$2:$J$656,Raw!$H$2:$H$656,A14,Raw!$I$2:$I$656,B14)</f>
        <v>10</v>
      </c>
      <c r="F14" s="8" t="n">
        <f aca="false">IF(C14=0,"—",E14/C14)</f>
        <v>0.833333333333333</v>
      </c>
    </row>
    <row r="15" customFormat="false" ht="15" hidden="false" customHeight="false" outlineLevel="0" collapsed="false">
      <c r="A15" s="2" t="s">
        <v>20</v>
      </c>
      <c r="B15" s="2" t="s">
        <v>98</v>
      </c>
      <c r="C15" s="2" t="n">
        <f aca="false">COUNTIFS(Raw!$H$2:$H$656,A15,Raw!$I$2:$I$656,B15)</f>
        <v>24</v>
      </c>
      <c r="D15" s="7" t="n">
        <f aca="false">SUMIFS(Raw!$E$2:$E$656,Raw!$H$2:$H$656,A15,Raw!$I$2:$I$656,B15)</f>
        <v>66500</v>
      </c>
      <c r="E15" s="2" t="n">
        <f aca="false">SUMIFS(Raw!$J$2:$J$656,Raw!$H$2:$H$656,A15,Raw!$I$2:$I$656,B15)</f>
        <v>19</v>
      </c>
      <c r="F15" s="8" t="n">
        <f aca="false">IF(C15=0,"—",E15/C15)</f>
        <v>0.791666666666667</v>
      </c>
    </row>
    <row r="16" customFormat="false" ht="15" hidden="false" customHeight="false" outlineLevel="0" collapsed="false">
      <c r="A16" s="2" t="s">
        <v>20</v>
      </c>
      <c r="B16" s="2" t="s">
        <v>101</v>
      </c>
      <c r="C16" s="2" t="n">
        <f aca="false">COUNTIFS(Raw!$H$2:$H$656,A16,Raw!$I$2:$I$656,B16)</f>
        <v>13</v>
      </c>
      <c r="D16" s="7" t="n">
        <f aca="false">SUMIFS(Raw!$E$2:$E$656,Raw!$H$2:$H$656,A16,Raw!$I$2:$I$656,B16)</f>
        <v>37000</v>
      </c>
      <c r="E16" s="2" t="n">
        <f aca="false">SUMIFS(Raw!$J$2:$J$656,Raw!$H$2:$H$656,A16,Raw!$I$2:$I$656,B16)</f>
        <v>11</v>
      </c>
      <c r="F16" s="8" t="n">
        <f aca="false">IF(C16=0,"—",E16/C16)</f>
        <v>0.846153846153846</v>
      </c>
    </row>
    <row r="17" customFormat="false" ht="15" hidden="false" customHeight="false" outlineLevel="0" collapsed="false">
      <c r="A17" s="2" t="s">
        <v>20</v>
      </c>
      <c r="B17" s="2" t="s">
        <v>91</v>
      </c>
      <c r="C17" s="2" t="n">
        <f aca="false">COUNTIFS(Raw!$H$2:$H$656,A17,Raw!$I$2:$I$656,B17)</f>
        <v>21</v>
      </c>
      <c r="D17" s="7" t="n">
        <f aca="false">SUMIFS(Raw!$E$2:$E$656,Raw!$H$2:$H$656,A17,Raw!$I$2:$I$656,B17)</f>
        <v>77500</v>
      </c>
      <c r="E17" s="2" t="n">
        <f aca="false">SUMIFS(Raw!$J$2:$J$656,Raw!$H$2:$H$656,A17,Raw!$I$2:$I$656,B17)</f>
        <v>18</v>
      </c>
      <c r="F17" s="8" t="n">
        <f aca="false">IF(C17=0,"—",E17/C17)</f>
        <v>0.857142857142857</v>
      </c>
    </row>
    <row r="18" customFormat="false" ht="15" hidden="false" customHeight="false" outlineLevel="0" collapsed="false">
      <c r="A18" s="2" t="s">
        <v>20</v>
      </c>
      <c r="B18" s="2" t="s">
        <v>126</v>
      </c>
      <c r="C18" s="2" t="n">
        <f aca="false">COUNTIFS(Raw!$H$2:$H$656,A18,Raw!$I$2:$I$656,B18)</f>
        <v>24</v>
      </c>
      <c r="D18" s="7" t="n">
        <f aca="false">SUMIFS(Raw!$E$2:$E$656,Raw!$H$2:$H$656,A18,Raw!$I$2:$I$656,B18)</f>
        <v>97000</v>
      </c>
      <c r="E18" s="2" t="n">
        <f aca="false">SUMIFS(Raw!$J$2:$J$656,Raw!$H$2:$H$656,A18,Raw!$I$2:$I$656,B18)</f>
        <v>15</v>
      </c>
      <c r="F18" s="8" t="n">
        <f aca="false">IF(C18=0,"—",E18/C18)</f>
        <v>0.625</v>
      </c>
    </row>
    <row r="19" customFormat="false" ht="15" hidden="false" customHeight="false" outlineLevel="0" collapsed="false">
      <c r="A19" s="2" t="s">
        <v>20</v>
      </c>
      <c r="B19" s="2" t="s">
        <v>112</v>
      </c>
      <c r="C19" s="2" t="n">
        <f aca="false">COUNTIFS(Raw!$H$2:$H$656,A19,Raw!$I$2:$I$656,B19)</f>
        <v>6</v>
      </c>
      <c r="D19" s="7" t="n">
        <f aca="false">SUMIFS(Raw!$E$2:$E$656,Raw!$H$2:$H$656,A19,Raw!$I$2:$I$656,B19)</f>
        <v>25500</v>
      </c>
      <c r="E19" s="2" t="n">
        <f aca="false">SUMIFS(Raw!$J$2:$J$656,Raw!$H$2:$H$656,A19,Raw!$I$2:$I$656,B19)</f>
        <v>4</v>
      </c>
      <c r="F19" s="8" t="n">
        <f aca="false">IF(C19=0,"—",E19/C19)</f>
        <v>0.666666666666667</v>
      </c>
    </row>
    <row r="20" customFormat="false" ht="15" hidden="false" customHeight="false" outlineLevel="0" collapsed="false">
      <c r="A20" s="2" t="s">
        <v>20</v>
      </c>
      <c r="B20" s="2" t="s">
        <v>119</v>
      </c>
      <c r="C20" s="2" t="n">
        <f aca="false">COUNTIFS(Raw!$H$2:$H$656,A20,Raw!$I$2:$I$656,B20)</f>
        <v>11</v>
      </c>
      <c r="D20" s="7" t="n">
        <f aca="false">SUMIFS(Raw!$E$2:$E$656,Raw!$H$2:$H$656,A20,Raw!$I$2:$I$656,B20)</f>
        <v>42000</v>
      </c>
      <c r="E20" s="2" t="n">
        <f aca="false">SUMIFS(Raw!$J$2:$J$656,Raw!$H$2:$H$656,A20,Raw!$I$2:$I$656,B20)</f>
        <v>9</v>
      </c>
      <c r="F20" s="8" t="n">
        <f aca="false">IF(C20=0,"—",E20/C20)</f>
        <v>0.818181818181818</v>
      </c>
    </row>
    <row r="21" customFormat="false" ht="15" hidden="false" customHeight="false" outlineLevel="0" collapsed="false">
      <c r="A21" s="2" t="s">
        <v>20</v>
      </c>
      <c r="B21" s="2" t="s">
        <v>60</v>
      </c>
      <c r="C21" s="2" t="n">
        <f aca="false">COUNTIFS(Raw!$H$2:$H$656,A21,Raw!$I$2:$I$656,B21)</f>
        <v>19</v>
      </c>
      <c r="D21" s="7" t="n">
        <f aca="false">SUMIFS(Raw!$E$2:$E$656,Raw!$H$2:$H$656,A21,Raw!$I$2:$I$656,B21)</f>
        <v>66000</v>
      </c>
      <c r="E21" s="2" t="n">
        <f aca="false">SUMIFS(Raw!$J$2:$J$656,Raw!$H$2:$H$656,A21,Raw!$I$2:$I$656,B21)</f>
        <v>17</v>
      </c>
      <c r="F21" s="8" t="n">
        <f aca="false">IF(C21=0,"—",E21/C21)</f>
        <v>0.894736842105263</v>
      </c>
    </row>
    <row r="22" customFormat="false" ht="15" hidden="false" customHeight="false" outlineLevel="0" collapsed="false">
      <c r="A22" s="2" t="s">
        <v>20</v>
      </c>
      <c r="B22" s="2" t="s">
        <v>48</v>
      </c>
      <c r="C22" s="2" t="n">
        <f aca="false">COUNTIFS(Raw!$H$2:$H$656,A22,Raw!$I$2:$I$656,B22)</f>
        <v>19</v>
      </c>
      <c r="D22" s="7" t="n">
        <f aca="false">SUMIFS(Raw!$E$2:$E$656,Raw!$H$2:$H$656,A22,Raw!$I$2:$I$656,B22)</f>
        <v>87000</v>
      </c>
      <c r="E22" s="2" t="n">
        <f aca="false">SUMIFS(Raw!$J$2:$J$656,Raw!$H$2:$H$656,A22,Raw!$I$2:$I$656,B22)</f>
        <v>17</v>
      </c>
      <c r="F22" s="8" t="n">
        <f aca="false">IF(C22=0,"—",E22/C22)</f>
        <v>0.894736842105263</v>
      </c>
    </row>
    <row r="23" customFormat="false" ht="15" hidden="false" customHeight="false" outlineLevel="0" collapsed="false">
      <c r="A23" s="2" t="s">
        <v>20</v>
      </c>
      <c r="B23" s="2" t="s">
        <v>149</v>
      </c>
      <c r="C23" s="2" t="n">
        <f aca="false">COUNTIFS(Raw!$H$2:$H$656,A23,Raw!$I$2:$I$656,B23)</f>
        <v>0</v>
      </c>
      <c r="D23" s="7" t="n">
        <f aca="false">SUMIFS(Raw!$E$2:$E$656,Raw!$H$2:$H$656,A23,Raw!$I$2:$I$656,B23)</f>
        <v>0</v>
      </c>
      <c r="E23" s="2" t="n">
        <f aca="false">SUMIFS(Raw!$J$2:$J$656,Raw!$H$2:$H$656,A23,Raw!$I$2:$I$656,B23)</f>
        <v>0</v>
      </c>
      <c r="F23" s="8" t="str">
        <f aca="false">IF(C23=0,"—",E23/C23)</f>
        <v>—</v>
      </c>
    </row>
    <row r="24" customFormat="false" ht="15" hidden="false" customHeight="false" outlineLevel="0" collapsed="false">
      <c r="A24" s="2" t="s">
        <v>26</v>
      </c>
      <c r="B24" s="2" t="s">
        <v>135</v>
      </c>
      <c r="C24" s="2" t="n">
        <f aca="false">COUNTIFS(Raw!$H$2:$H$656,A24,Raw!$I$2:$I$656,B24)</f>
        <v>19</v>
      </c>
      <c r="D24" s="7" t="n">
        <f aca="false">SUMIFS(Raw!$E$2:$E$656,Raw!$H$2:$H$656,A24,Raw!$I$2:$I$656,B24)</f>
        <v>95000</v>
      </c>
      <c r="E24" s="2" t="n">
        <f aca="false">SUMIFS(Raw!$J$2:$J$656,Raw!$H$2:$H$656,A24,Raw!$I$2:$I$656,B24)</f>
        <v>19</v>
      </c>
      <c r="F24" s="8" t="n">
        <f aca="false">IF(C24=0,"—",E24/C24)</f>
        <v>1</v>
      </c>
    </row>
    <row r="25" customFormat="false" ht="15" hidden="false" customHeight="false" outlineLevel="0" collapsed="false">
      <c r="A25" s="2" t="s">
        <v>26</v>
      </c>
      <c r="B25" s="2" t="s">
        <v>86</v>
      </c>
      <c r="C25" s="2" t="n">
        <f aca="false">COUNTIFS(Raw!$H$2:$H$656,A25,Raw!$I$2:$I$656,B25)</f>
        <v>16</v>
      </c>
      <c r="D25" s="7" t="n">
        <f aca="false">SUMIFS(Raw!$E$2:$E$656,Raw!$H$2:$H$656,A25,Raw!$I$2:$I$656,B25)</f>
        <v>73500</v>
      </c>
      <c r="E25" s="2" t="n">
        <f aca="false">SUMIFS(Raw!$J$2:$J$656,Raw!$H$2:$H$656,A25,Raw!$I$2:$I$656,B25)</f>
        <v>16</v>
      </c>
      <c r="F25" s="8" t="n">
        <f aca="false">IF(C25=0,"—",E25/C25)</f>
        <v>1</v>
      </c>
    </row>
    <row r="26" customFormat="false" ht="15" hidden="false" customHeight="false" outlineLevel="0" collapsed="false">
      <c r="A26" s="2" t="s">
        <v>26</v>
      </c>
      <c r="B26" s="2" t="s">
        <v>74</v>
      </c>
      <c r="C26" s="2" t="n">
        <f aca="false">COUNTIFS(Raw!$H$2:$H$656,A26,Raw!$I$2:$I$656,B26)</f>
        <v>15</v>
      </c>
      <c r="D26" s="7" t="n">
        <f aca="false">SUMIFS(Raw!$E$2:$E$656,Raw!$H$2:$H$656,A26,Raw!$I$2:$I$656,B26)</f>
        <v>86000</v>
      </c>
      <c r="E26" s="2" t="n">
        <f aca="false">SUMIFS(Raw!$J$2:$J$656,Raw!$H$2:$H$656,A26,Raw!$I$2:$I$656,B26)</f>
        <v>15</v>
      </c>
      <c r="F26" s="8" t="n">
        <f aca="false">IF(C26=0,"—",E26/C26)</f>
        <v>1</v>
      </c>
    </row>
    <row r="27" customFormat="false" ht="15" hidden="false" customHeight="false" outlineLevel="0" collapsed="false">
      <c r="A27" s="2" t="s">
        <v>26</v>
      </c>
      <c r="B27" s="2" t="s">
        <v>128</v>
      </c>
      <c r="C27" s="2" t="n">
        <f aca="false">COUNTIFS(Raw!$H$2:$H$656,A27,Raw!$I$2:$I$656,B27)</f>
        <v>21</v>
      </c>
      <c r="D27" s="7" t="n">
        <f aca="false">SUMIFS(Raw!$E$2:$E$656,Raw!$H$2:$H$656,A27,Raw!$I$2:$I$656,B27)</f>
        <v>77500</v>
      </c>
      <c r="E27" s="2" t="n">
        <f aca="false">SUMIFS(Raw!$J$2:$J$656,Raw!$H$2:$H$656,A27,Raw!$I$2:$I$656,B27)</f>
        <v>19</v>
      </c>
      <c r="F27" s="8" t="n">
        <f aca="false">IF(C27=0,"—",E27/C27)</f>
        <v>0.904761904761905</v>
      </c>
    </row>
    <row r="28" customFormat="false" ht="15" hidden="false" customHeight="false" outlineLevel="0" collapsed="false">
      <c r="A28" s="2" t="s">
        <v>26</v>
      </c>
      <c r="B28" s="2" t="s">
        <v>25</v>
      </c>
      <c r="C28" s="2" t="n">
        <f aca="false">COUNTIFS(Raw!$H$2:$H$656,A28,Raw!$I$2:$I$656,B28)</f>
        <v>19</v>
      </c>
      <c r="D28" s="7" t="n">
        <f aca="false">SUMIFS(Raw!$E$2:$E$656,Raw!$H$2:$H$656,A28,Raw!$I$2:$I$656,B28)</f>
        <v>80500</v>
      </c>
      <c r="E28" s="2" t="n">
        <f aca="false">SUMIFS(Raw!$J$2:$J$656,Raw!$H$2:$H$656,A28,Raw!$I$2:$I$656,B28)</f>
        <v>16</v>
      </c>
      <c r="F28" s="8" t="n">
        <f aca="false">IF(C28=0,"—",E28/C28)</f>
        <v>0.842105263157895</v>
      </c>
    </row>
    <row r="29" customFormat="false" ht="15" hidden="false" customHeight="false" outlineLevel="0" collapsed="false">
      <c r="A29" s="2" t="s">
        <v>26</v>
      </c>
      <c r="B29" s="2" t="s">
        <v>40</v>
      </c>
      <c r="C29" s="2" t="n">
        <f aca="false">COUNTIFS(Raw!$H$2:$H$656,A29,Raw!$I$2:$I$656,B29)</f>
        <v>18</v>
      </c>
      <c r="D29" s="7" t="n">
        <f aca="false">SUMIFS(Raw!$E$2:$E$656,Raw!$H$2:$H$656,A29,Raw!$I$2:$I$656,B29)</f>
        <v>71000</v>
      </c>
      <c r="E29" s="2" t="n">
        <f aca="false">SUMIFS(Raw!$J$2:$J$656,Raw!$H$2:$H$656,A29,Raw!$I$2:$I$656,B29)</f>
        <v>18</v>
      </c>
      <c r="F29" s="8" t="n">
        <f aca="false">IF(C29=0,"—",E29/C29)</f>
        <v>1</v>
      </c>
    </row>
    <row r="30" customFormat="false" ht="15" hidden="false" customHeight="false" outlineLevel="0" collapsed="false">
      <c r="A30" s="2" t="s">
        <v>26</v>
      </c>
      <c r="B30" s="2" t="s">
        <v>104</v>
      </c>
      <c r="C30" s="2" t="n">
        <f aca="false">COUNTIFS(Raw!$H$2:$H$656,A30,Raw!$I$2:$I$656,B30)</f>
        <v>19</v>
      </c>
      <c r="D30" s="7" t="n">
        <f aca="false">SUMIFS(Raw!$E$2:$E$656,Raw!$H$2:$H$656,A30,Raw!$I$2:$I$656,B30)</f>
        <v>65000</v>
      </c>
      <c r="E30" s="2" t="n">
        <f aca="false">SUMIFS(Raw!$J$2:$J$656,Raw!$H$2:$H$656,A30,Raw!$I$2:$I$656,B30)</f>
        <v>19</v>
      </c>
      <c r="F30" s="8" t="n">
        <f aca="false">IF(C30=0,"—",E30/C30)</f>
        <v>1</v>
      </c>
    </row>
    <row r="31" customFormat="false" ht="15" hidden="false" customHeight="false" outlineLevel="0" collapsed="false">
      <c r="A31" s="2" t="s">
        <v>26</v>
      </c>
      <c r="B31" s="2" t="s">
        <v>94</v>
      </c>
      <c r="C31" s="2" t="n">
        <f aca="false">COUNTIFS(Raw!$H$2:$H$656,A31,Raw!$I$2:$I$656,B31)</f>
        <v>17</v>
      </c>
      <c r="D31" s="7" t="n">
        <f aca="false">SUMIFS(Raw!$E$2:$E$656,Raw!$H$2:$H$656,A31,Raw!$I$2:$I$656,B31)</f>
        <v>54500</v>
      </c>
      <c r="E31" s="2" t="n">
        <f aca="false">SUMIFS(Raw!$J$2:$J$656,Raw!$H$2:$H$656,A31,Raw!$I$2:$I$656,B31)</f>
        <v>17</v>
      </c>
      <c r="F31" s="8" t="n">
        <f aca="false">IF(C31=0,"—",E31/C31)</f>
        <v>1</v>
      </c>
    </row>
    <row r="32" customFormat="false" ht="15" hidden="false" customHeight="false" outlineLevel="0" collapsed="false">
      <c r="A32" s="2" t="s">
        <v>26</v>
      </c>
      <c r="B32" s="2" t="s">
        <v>121</v>
      </c>
      <c r="C32" s="2" t="n">
        <f aca="false">COUNTIFS(Raw!$H$2:$H$656,A32,Raw!$I$2:$I$656,B32)</f>
        <v>16</v>
      </c>
      <c r="D32" s="7" t="n">
        <f aca="false">SUMIFS(Raw!$E$2:$E$656,Raw!$H$2:$H$656,A32,Raw!$I$2:$I$656,B32)</f>
        <v>29000</v>
      </c>
      <c r="E32" s="2" t="n">
        <f aca="false">SUMIFS(Raw!$J$2:$J$656,Raw!$H$2:$H$656,A32,Raw!$I$2:$I$656,B32)</f>
        <v>16</v>
      </c>
      <c r="F32" s="8" t="n">
        <f aca="false">IF(C32=0,"—",E32/C32)</f>
        <v>1</v>
      </c>
    </row>
    <row r="33" customFormat="false" ht="15" hidden="false" customHeight="false" outlineLevel="0" collapsed="false">
      <c r="A33" s="2" t="s">
        <v>26</v>
      </c>
      <c r="B33" s="2" t="s">
        <v>51</v>
      </c>
      <c r="C33" s="2" t="n">
        <f aca="false">COUNTIFS(Raw!$H$2:$H$656,A33,Raw!$I$2:$I$656,B33)</f>
        <v>25</v>
      </c>
      <c r="D33" s="7" t="n">
        <f aca="false">SUMIFS(Raw!$E$2:$E$656,Raw!$H$2:$H$656,A33,Raw!$I$2:$I$656,B33)</f>
        <v>117000</v>
      </c>
      <c r="E33" s="2" t="n">
        <f aca="false">SUMIFS(Raw!$J$2:$J$656,Raw!$H$2:$H$656,A33,Raw!$I$2:$I$656,B33)</f>
        <v>25</v>
      </c>
      <c r="F33" s="8" t="n">
        <f aca="false">IF(C33=0,"—",E33/C33)</f>
        <v>1</v>
      </c>
    </row>
    <row r="34" customFormat="false" ht="15" hidden="false" customHeight="false" outlineLevel="0" collapsed="false">
      <c r="A34" s="2" t="s">
        <v>26</v>
      </c>
      <c r="B34" s="2" t="s">
        <v>143</v>
      </c>
      <c r="C34" s="2" t="n">
        <f aca="false">COUNTIFS(Raw!$H$2:$H$656,A34,Raw!$I$2:$I$656,B34)</f>
        <v>0</v>
      </c>
      <c r="D34" s="7" t="n">
        <f aca="false">SUMIFS(Raw!$E$2:$E$656,Raw!$H$2:$H$656,A34,Raw!$I$2:$I$656,B34)</f>
        <v>0</v>
      </c>
      <c r="E34" s="2" t="n">
        <f aca="false">SUMIFS(Raw!$J$2:$J$656,Raw!$H$2:$H$656,A34,Raw!$I$2:$I$656,B34)</f>
        <v>0</v>
      </c>
      <c r="F34" s="8" t="str">
        <f aca="false">IF(C34=0,"—",E34/C34)</f>
        <v>—</v>
      </c>
    </row>
    <row r="35" customFormat="false" ht="15" hidden="false" customHeight="false" outlineLevel="0" collapsed="false">
      <c r="A35" s="2" t="s">
        <v>32</v>
      </c>
      <c r="B35" s="2" t="s">
        <v>89</v>
      </c>
      <c r="C35" s="2" t="n">
        <f aca="false">COUNTIFS(Raw!$H$2:$H$656,A35,Raw!$I$2:$I$656,B35)</f>
        <v>18</v>
      </c>
      <c r="D35" s="7" t="n">
        <f aca="false">SUMIFS(Raw!$E$2:$E$656,Raw!$H$2:$H$656,A35,Raw!$I$2:$I$656,B35)</f>
        <v>65500</v>
      </c>
      <c r="E35" s="2" t="n">
        <f aca="false">SUMIFS(Raw!$J$2:$J$656,Raw!$H$2:$H$656,A35,Raw!$I$2:$I$656,B35)</f>
        <v>17</v>
      </c>
      <c r="F35" s="8" t="n">
        <f aca="false">IF(C35=0,"—",E35/C35)</f>
        <v>0.944444444444444</v>
      </c>
    </row>
    <row r="36" customFormat="false" ht="15" hidden="false" customHeight="false" outlineLevel="0" collapsed="false">
      <c r="A36" s="2" t="s">
        <v>32</v>
      </c>
      <c r="B36" s="2" t="s">
        <v>79</v>
      </c>
      <c r="C36" s="2" t="n">
        <f aca="false">COUNTIFS(Raw!$H$2:$H$656,A36,Raw!$I$2:$I$656,B36)</f>
        <v>17</v>
      </c>
      <c r="D36" s="7" t="n">
        <f aca="false">SUMIFS(Raw!$E$2:$E$656,Raw!$H$2:$H$656,A36,Raw!$I$2:$I$656,B36)</f>
        <v>73000</v>
      </c>
      <c r="E36" s="2" t="n">
        <f aca="false">SUMIFS(Raw!$J$2:$J$656,Raw!$H$2:$H$656,A36,Raw!$I$2:$I$656,B36)</f>
        <v>14</v>
      </c>
      <c r="F36" s="8" t="n">
        <f aca="false">IF(C36=0,"—",E36/C36)</f>
        <v>0.823529411764706</v>
      </c>
    </row>
    <row r="37" customFormat="false" ht="15" hidden="false" customHeight="false" outlineLevel="0" collapsed="false">
      <c r="A37" s="2" t="s">
        <v>32</v>
      </c>
      <c r="B37" s="2" t="s">
        <v>66</v>
      </c>
      <c r="C37" s="2" t="n">
        <f aca="false">COUNTIFS(Raw!$H$2:$H$656,A37,Raw!$I$2:$I$656,B37)</f>
        <v>16</v>
      </c>
      <c r="D37" s="7" t="n">
        <f aca="false">SUMIFS(Raw!$E$2:$E$656,Raw!$H$2:$H$656,A37,Raw!$I$2:$I$656,B37)</f>
        <v>95500</v>
      </c>
      <c r="E37" s="2" t="n">
        <f aca="false">SUMIFS(Raw!$J$2:$J$656,Raw!$H$2:$H$656,A37,Raw!$I$2:$I$656,B37)</f>
        <v>15</v>
      </c>
      <c r="F37" s="8" t="n">
        <f aca="false">IF(C37=0,"—",E37/C37)</f>
        <v>0.9375</v>
      </c>
    </row>
    <row r="38" customFormat="false" ht="15" hidden="false" customHeight="false" outlineLevel="0" collapsed="false">
      <c r="A38" s="2" t="s">
        <v>32</v>
      </c>
      <c r="B38" s="2" t="s">
        <v>131</v>
      </c>
      <c r="C38" s="2" t="n">
        <f aca="false">COUNTIFS(Raw!$H$2:$H$656,A38,Raw!$I$2:$I$656,B38)</f>
        <v>9</v>
      </c>
      <c r="D38" s="7" t="n">
        <f aca="false">SUMIFS(Raw!$E$2:$E$656,Raw!$H$2:$H$656,A38,Raw!$I$2:$I$656,B38)</f>
        <v>18500</v>
      </c>
      <c r="E38" s="2" t="n">
        <f aca="false">SUMIFS(Raw!$J$2:$J$656,Raw!$H$2:$H$656,A38,Raw!$I$2:$I$656,B38)</f>
        <v>6</v>
      </c>
      <c r="F38" s="8" t="n">
        <f aca="false">IF(C38=0,"—",E38/C38)</f>
        <v>0.666666666666667</v>
      </c>
    </row>
    <row r="39" customFormat="false" ht="15" hidden="false" customHeight="false" outlineLevel="0" collapsed="false">
      <c r="A39" s="2" t="s">
        <v>32</v>
      </c>
      <c r="B39" s="2" t="s">
        <v>31</v>
      </c>
      <c r="C39" s="2" t="n">
        <f aca="false">COUNTIFS(Raw!$H$2:$H$656,A39,Raw!$I$2:$I$656,B39)</f>
        <v>16</v>
      </c>
      <c r="D39" s="7" t="n">
        <f aca="false">SUMIFS(Raw!$E$2:$E$656,Raw!$H$2:$H$656,A39,Raw!$I$2:$I$656,B39)</f>
        <v>89500</v>
      </c>
      <c r="E39" s="2" t="n">
        <f aca="false">SUMIFS(Raw!$J$2:$J$656,Raw!$H$2:$H$656,A39,Raw!$I$2:$I$656,B39)</f>
        <v>15</v>
      </c>
      <c r="F39" s="8" t="n">
        <f aca="false">IF(C39=0,"—",E39/C39)</f>
        <v>0.9375</v>
      </c>
    </row>
    <row r="40" customFormat="false" ht="15" hidden="false" customHeight="false" outlineLevel="0" collapsed="false">
      <c r="A40" s="2" t="s">
        <v>32</v>
      </c>
      <c r="B40" s="2" t="s">
        <v>107</v>
      </c>
      <c r="C40" s="2" t="n">
        <f aca="false">COUNTIFS(Raw!$H$2:$H$656,A40,Raw!$I$2:$I$656,B40)</f>
        <v>9</v>
      </c>
      <c r="D40" s="7" t="n">
        <f aca="false">SUMIFS(Raw!$E$2:$E$656,Raw!$H$2:$H$656,A40,Raw!$I$2:$I$656,B40)</f>
        <v>37500</v>
      </c>
      <c r="E40" s="2" t="n">
        <f aca="false">SUMIFS(Raw!$J$2:$J$656,Raw!$H$2:$H$656,A40,Raw!$I$2:$I$656,B40)</f>
        <v>9</v>
      </c>
      <c r="F40" s="8" t="n">
        <f aca="false">IF(C40=0,"—",E40/C40)</f>
        <v>1</v>
      </c>
    </row>
    <row r="41" customFormat="false" ht="15" hidden="false" customHeight="false" outlineLevel="0" collapsed="false">
      <c r="A41" s="2" t="s">
        <v>32</v>
      </c>
      <c r="B41" s="2" t="s">
        <v>123</v>
      </c>
      <c r="C41" s="2" t="n">
        <f aca="false">COUNTIFS(Raw!$H$2:$H$656,A41,Raw!$I$2:$I$656,B41)</f>
        <v>24</v>
      </c>
      <c r="D41" s="7" t="n">
        <f aca="false">SUMIFS(Raw!$E$2:$E$656,Raw!$H$2:$H$656,A41,Raw!$I$2:$I$656,B41)</f>
        <v>108500</v>
      </c>
      <c r="E41" s="2" t="n">
        <f aca="false">SUMIFS(Raw!$J$2:$J$656,Raw!$H$2:$H$656,A41,Raw!$I$2:$I$656,B41)</f>
        <v>22</v>
      </c>
      <c r="F41" s="8" t="n">
        <f aca="false">IF(C41=0,"—",E41/C41)</f>
        <v>0.916666666666667</v>
      </c>
    </row>
    <row r="42" customFormat="false" ht="15" hidden="false" customHeight="false" outlineLevel="0" collapsed="false">
      <c r="A42" s="2" t="s">
        <v>32</v>
      </c>
      <c r="B42" s="2" t="s">
        <v>115</v>
      </c>
      <c r="C42" s="2" t="n">
        <f aca="false">COUNTIFS(Raw!$H$2:$H$656,A42,Raw!$I$2:$I$656,B42)</f>
        <v>22</v>
      </c>
      <c r="D42" s="7" t="n">
        <f aca="false">SUMIFS(Raw!$E$2:$E$656,Raw!$H$2:$H$656,A42,Raw!$I$2:$I$656,B42)</f>
        <v>115500</v>
      </c>
      <c r="E42" s="2" t="n">
        <f aca="false">SUMIFS(Raw!$J$2:$J$656,Raw!$H$2:$H$656,A42,Raw!$I$2:$I$656,B42)</f>
        <v>19</v>
      </c>
      <c r="F42" s="8" t="n">
        <f aca="false">IF(C42=0,"—",E42/C42)</f>
        <v>0.863636363636364</v>
      </c>
    </row>
    <row r="43" customFormat="false" ht="15" hidden="false" customHeight="false" outlineLevel="0" collapsed="false">
      <c r="A43" s="2" t="s">
        <v>32</v>
      </c>
      <c r="B43" s="2" t="s">
        <v>55</v>
      </c>
      <c r="C43" s="2" t="n">
        <f aca="false">COUNTIFS(Raw!$H$2:$H$656,A43,Raw!$I$2:$I$656,B43)</f>
        <v>10</v>
      </c>
      <c r="D43" s="7" t="n">
        <f aca="false">SUMIFS(Raw!$E$2:$E$656,Raw!$H$2:$H$656,A43,Raw!$I$2:$I$656,B43)</f>
        <v>28500</v>
      </c>
      <c r="E43" s="2" t="n">
        <f aca="false">SUMIFS(Raw!$J$2:$J$656,Raw!$H$2:$H$656,A43,Raw!$I$2:$I$656,B43)</f>
        <v>9</v>
      </c>
      <c r="F43" s="8" t="n">
        <f aca="false">IF(C43=0,"—",E43/C43)</f>
        <v>0.9</v>
      </c>
    </row>
    <row r="44" customFormat="false" ht="15" hidden="false" customHeight="false" outlineLevel="0" collapsed="false">
      <c r="A44" s="2" t="s">
        <v>32</v>
      </c>
      <c r="B44" s="2" t="s">
        <v>146</v>
      </c>
      <c r="C44" s="2" t="n">
        <f aca="false">COUNTIFS(Raw!$H$2:$H$656,A44,Raw!$I$2:$I$656,B44)</f>
        <v>0</v>
      </c>
      <c r="D44" s="7" t="n">
        <f aca="false">SUMIFS(Raw!$E$2:$E$656,Raw!$H$2:$H$656,A44,Raw!$I$2:$I$656,B44)</f>
        <v>0</v>
      </c>
      <c r="E44" s="2" t="n">
        <f aca="false">SUMIFS(Raw!$J$2:$J$656,Raw!$H$2:$H$656,A44,Raw!$I$2:$I$656,B44)</f>
        <v>0</v>
      </c>
      <c r="F44" s="8" t="str">
        <f aca="false">IF(C44=0,"—",E44/C44)</f>
        <v>—</v>
      </c>
    </row>
    <row r="45" customFormat="false" ht="15" hidden="false" customHeight="false" outlineLevel="0" collapsed="false">
      <c r="A45" s="9" t="s">
        <v>772</v>
      </c>
      <c r="B45" s="9"/>
      <c r="C45" s="9" t="n">
        <f aca="false">SUM(C5:C44)</f>
        <v>655</v>
      </c>
      <c r="D45" s="10" t="n">
        <f aca="false">SUM(D5:D44)</f>
        <v>2722000</v>
      </c>
      <c r="E45" s="9" t="n">
        <f aca="false">SUM(E5:E44)</f>
        <v>581</v>
      </c>
      <c r="F45" s="11" t="n">
        <f aca="false">E45/C45</f>
        <v>0.887022900763359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9" t="s">
        <v>773</v>
      </c>
    </row>
    <row r="3" customFormat="false" ht="26.85" hidden="false" customHeight="false" outlineLevel="0" collapsed="false">
      <c r="A3" s="1" t="s">
        <v>12</v>
      </c>
      <c r="B3" s="1" t="s">
        <v>774</v>
      </c>
      <c r="D3" s="1" t="s">
        <v>12</v>
      </c>
      <c r="E3" s="1" t="s">
        <v>768</v>
      </c>
      <c r="F3" s="1" t="s">
        <v>775</v>
      </c>
      <c r="G3" s="1" t="s">
        <v>771</v>
      </c>
    </row>
    <row r="4" customFormat="false" ht="15" hidden="false" customHeight="false" outlineLevel="0" collapsed="false">
      <c r="A4" s="2" t="s">
        <v>20</v>
      </c>
      <c r="B4" s="12" t="n">
        <v>18</v>
      </c>
      <c r="D4" s="0" t="str">
        <f aca="false">A4</f>
        <v>Model-X</v>
      </c>
      <c r="E4" s="13" t="n">
        <f aca="false">COUNTIF(Raw!$H$2:$H$656,D4)</f>
        <v>329</v>
      </c>
      <c r="F4" s="13" t="n">
        <f aca="false">SUMIF(Raw!$H$2:$H$656,D4,Raw!$K$2:$K$656)</f>
        <v>5922</v>
      </c>
      <c r="G4" s="14" t="n">
        <f aca="false">SUMIFS(Raw!$J$2:$J$656,Raw!$H$2:$H$656,D4)/E4</f>
        <v>0.835866261398176</v>
      </c>
    </row>
    <row r="5" customFormat="false" ht="15" hidden="false" customHeight="false" outlineLevel="0" collapsed="false">
      <c r="A5" s="2" t="s">
        <v>26</v>
      </c>
      <c r="B5" s="12" t="n">
        <v>14</v>
      </c>
      <c r="D5" s="0" t="str">
        <f aca="false">A5</f>
        <v>Model-Y</v>
      </c>
      <c r="E5" s="13" t="n">
        <f aca="false">COUNTIF(Raw!$H$2:$H$656,D5)</f>
        <v>185</v>
      </c>
      <c r="F5" s="13" t="n">
        <f aca="false">SUMIF(Raw!$H$2:$H$656,D5,Raw!$K$2:$K$656)</f>
        <v>2590</v>
      </c>
      <c r="G5" s="14" t="n">
        <f aca="false">SUMIFS(Raw!$J$2:$J$656,Raw!$H$2:$H$656,D5)/E5</f>
        <v>0.972972972972973</v>
      </c>
    </row>
    <row r="6" customFormat="false" ht="15" hidden="false" customHeight="false" outlineLevel="0" collapsed="false">
      <c r="A6" s="2" t="s">
        <v>32</v>
      </c>
      <c r="B6" s="12" t="n">
        <v>16</v>
      </c>
      <c r="D6" s="0" t="str">
        <f aca="false">A6</f>
        <v>Model-Z</v>
      </c>
      <c r="E6" s="13" t="n">
        <f aca="false">COUNTIF(Raw!$H$2:$H$656,D6)</f>
        <v>141</v>
      </c>
      <c r="F6" s="13" t="n">
        <f aca="false">SUMIF(Raw!$H$2:$H$656,D6,Raw!$K$2:$K$656)</f>
        <v>2256</v>
      </c>
      <c r="G6" s="14" t="n">
        <f aca="false">SUMIFS(Raw!$J$2:$J$656,Raw!$H$2:$H$656,D6)/E6</f>
        <v>0.893617021276596</v>
      </c>
    </row>
    <row r="7" customFormat="false" ht="15" hidden="false" customHeight="false" outlineLevel="0" collapsed="false">
      <c r="D7" s="9" t="s">
        <v>772</v>
      </c>
      <c r="E7" s="9" t="n">
        <f aca="false">SUM(E4:E6)</f>
        <v>655</v>
      </c>
      <c r="F7" s="9" t="n">
        <f aca="false">SUM(F4:F6)</f>
        <v>10768</v>
      </c>
      <c r="G7" s="11" t="n">
        <f aca="false">SUM(Raw!$J$2:$J$656)/E7</f>
        <v>0.887022900763359</v>
      </c>
    </row>
    <row r="9" customFormat="false" ht="15" hidden="false" customHeight="false" outlineLevel="0" collapsed="false">
      <c r="A9" s="15" t="s">
        <v>776</v>
      </c>
      <c r="D9" s="0" t="str">
        <f aca="false">IF(E7=COUNTA(Raw!$A$2:$A$656),"OK","ОШИБКА")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2026-10-19T18:36:13Z</dcterms:created>
  <dc:creator>openpyxl</dc:creator>
  <dc:description/>
  <dc:language>en-US</dc:language>
  <cp:lastModifiedBy/>
  <dcterms:modified xsi:type="dcterms:W3CDTF">2026-10-19T18:36:13Z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